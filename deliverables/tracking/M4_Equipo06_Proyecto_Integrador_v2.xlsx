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emrodri\Github\Proyecto-Powerbi-Andinalog-rol03b\deliverables\tracking\"/>
    </mc:Choice>
  </mc:AlternateContent>
  <xr:revisionPtr revIDLastSave="0" documentId="13_ncr:1_{C92C0C20-B52E-468A-8883-7ABBC7AA10C3}" xr6:coauthVersionLast="47" xr6:coauthVersionMax="47" xr10:uidLastSave="{00000000-0000-0000-0000-000000000000}"/>
  <bookViews>
    <workbookView xWindow="600" yWindow="-120" windowWidth="28320" windowHeight="16440" tabRatio="500" xr2:uid="{00000000-000D-0000-FFFF-FFFF00000000}"/>
  </bookViews>
  <sheets>
    <sheet name="Instrucciones" sheetId="1" r:id="rId1"/>
    <sheet name="Fichas KPI" sheetId="2" r:id="rId2"/>
    <sheet name="Campos ficha KPI" sheetId="3" r:id="rId3"/>
    <sheet name="S01 Inventario" sheetId="4" r:id="rId4"/>
    <sheet name="S02 Mapa Silver" sheetId="5" r:id="rId5"/>
    <sheet name="S03 Linaje" sheetId="6" r:id="rId6"/>
    <sheet name="S04 Antes-después" sheetId="7" r:id="rId7"/>
    <sheet name="S05-S06 Modelo" sheetId="8" r:id="rId8"/>
    <sheet name="S07 KPI" sheetId="9" r:id="rId9"/>
    <sheet name="S10 Supuestos" sheetId="10" r:id="rId10"/>
    <sheet name="S11 Pruebas RLS" sheetId="11" r:id="rId11"/>
    <sheet name="S12 Mejoras" sheetId="12" r:id="rId12"/>
  </sheets>
  <definedNames>
    <definedName name="_xlnm.Print_Area" localSheetId="4">'S02 Mapa Silver'!$A$1:$G$11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1" l="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AA15" i="2"/>
  <c r="S15" i="2"/>
  <c r="AA14" i="2"/>
  <c r="S14" i="2"/>
  <c r="AA13" i="2"/>
  <c r="S13" i="2"/>
  <c r="AA12" i="2"/>
  <c r="S12" i="2"/>
  <c r="AA11" i="2"/>
  <c r="S11" i="2"/>
  <c r="AA10" i="2"/>
  <c r="S10" i="2"/>
  <c r="AA9" i="2"/>
  <c r="S9" i="2"/>
  <c r="AA8" i="2"/>
  <c r="S8" i="2"/>
  <c r="AA7" i="2"/>
  <c r="S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R7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Umbral rojo de ejemplo (75 %) definido para la clase. Cada equipo justifica el suyo.</t>
        </r>
      </text>
    </comment>
  </commentList>
</comments>
</file>

<file path=xl/sharedStrings.xml><?xml version="1.0" encoding="utf-8"?>
<sst xmlns="http://schemas.openxmlformats.org/spreadsheetml/2006/main" count="429" uniqueCount="352">
  <si>
    <t>GIAD · Módulo 4 · Plantillas del Proyecto Integrador</t>
  </si>
  <si>
    <t>Una hoja por hito. Complete la hoja del hito durante la hora de equipo (una persona comparte pantalla, el resto decide) y suba el libro a Classroom.</t>
  </si>
  <si>
    <t>La fila gris de cada hoja es un ejemplo con Acería Andina: reemplácela con los datos de su subcaso. Los hitos son formativos; el proyecto se califica en la Sesión 13.</t>
  </si>
  <si>
    <t>Hoja</t>
  </si>
  <si>
    <t>Hito</t>
  </si>
  <si>
    <t>Contenido</t>
  </si>
  <si>
    <t>Fichas KPI</t>
  </si>
  <si>
    <t>Sesiones 01–13 · hilo</t>
  </si>
  <si>
    <t>Fichas de 5 a 8 KPI del subcaso; entrada del Módulo 5</t>
  </si>
  <si>
    <t>Campos ficha KPI</t>
  </si>
  <si>
    <t>Referencia</t>
  </si>
  <si>
    <t>Qué va en cada campo y para qué lo usa el Módulo 5</t>
  </si>
  <si>
    <t>S01 Inventario</t>
  </si>
  <si>
    <t>Sesión 01 · preparación</t>
  </si>
  <si>
    <t>Inventario de tablas Silver del subcaso</t>
  </si>
  <si>
    <t>S02 Mapa Silver</t>
  </si>
  <si>
    <t>Sesión 02 · hito</t>
  </si>
  <si>
    <t>Mapa Silver y arquitectura</t>
  </si>
  <si>
    <t>S03 Linaje</t>
  </si>
  <si>
    <t>Sesión 03 · hito</t>
  </si>
  <si>
    <t>Linaje y lista de excepciones</t>
  </si>
  <si>
    <t>S04 Antes-después</t>
  </si>
  <si>
    <t>Sesión 04 · hito</t>
  </si>
  <si>
    <t>Ficha antes/después de limpieza</t>
  </si>
  <si>
    <t>S05-S06 Modelo</t>
  </si>
  <si>
    <t>Sesiones 05–06 · hito</t>
  </si>
  <si>
    <t>Minuta del pipeline y del modelo</t>
  </si>
  <si>
    <t>S07 KPI</t>
  </si>
  <si>
    <t>Sesión 07 · hito</t>
  </si>
  <si>
    <t>KPI del subcaso validados</t>
  </si>
  <si>
    <t>S10 Supuestos</t>
  </si>
  <si>
    <t>Sesión 10 · hito</t>
  </si>
  <si>
    <t>Ficha de supuestos del escenario</t>
  </si>
  <si>
    <t>S11 Pruebas RLS</t>
  </si>
  <si>
    <t>Sesión 11 · hito</t>
  </si>
  <si>
    <t>Matriz de pruebas de seguridad por filas</t>
  </si>
  <si>
    <t>S12 Mejoras</t>
  </si>
  <si>
    <t>Sesión 12 · PreEntrega</t>
  </si>
  <si>
    <t>Lista de mejoras para la Sesión 13</t>
  </si>
  <si>
    <t>Todo el libro es del equipo. La ficha de configuración de Power BI de la Sesión 02 es individual y va en su propio archivo (GIAD-M4-S02_Ficha_Configuracion_Power_BI.xlsx).</t>
  </si>
  <si>
    <t>SESIONES 01–13 · HILO DEL MÓDULO</t>
  </si>
  <si>
    <t>Fichas de KPI del subcaso</t>
  </si>
  <si>
    <t>De 5 a 8 KPI por equipo. Cada columna indica la sesión en la que se completa; al final del módulo la ficha queda completa y es la entrada del Módulo 5 (mapa estratégico, POA, OKR, presupuesto y tablero de gestión). La fila gris es el ejemplo de Acería Andina. Las columnas azules se calculan solas. El bloque C se llena como propuesta: el Módulo 5 lo valida.</t>
  </si>
  <si>
    <t>Equipo:</t>
  </si>
  <si>
    <t>Grupo 06</t>
  </si>
  <si>
    <t>Subcaso:</t>
  </si>
  <si>
    <t>03B</t>
  </si>
  <si>
    <t>Fecha:</t>
  </si>
  <si>
    <t>2026-10-20</t>
  </si>
  <si>
    <t>A · DEFINICIÓN  (S01–S07)</t>
  </si>
  <si>
    <t>B · CONTROL  (S07–S11)</t>
  </si>
  <si>
    <t>C · ENLACE ESTRATÉGICO  (propuesta para el Módulo 5)</t>
  </si>
  <si>
    <t>KPI
(S01)</t>
  </si>
  <si>
    <t>Decisión que apoya (pregunta)
(S01)</t>
  </si>
  <si>
    <t>Nivel de decisión
(S02)</t>
  </si>
  <si>
    <t>Fórmula en palabras
(S02)</t>
  </si>
  <si>
    <t>Unidad
(S02)</t>
  </si>
  <si>
    <t>Tabla(s) fuente
(S03)</t>
  </si>
  <si>
    <t>Regla de calidad que lo protege
(S04)</t>
  </si>
  <si>
    <t>Grano (una fila es…)
(S06)</t>
  </si>
  <si>
    <t>Dimensiones de análisis
(S06)</t>
  </si>
  <si>
    <t>Medida DAX
(S07)</t>
  </si>
  <si>
    <t>Frecuencia de revisión
(S07)</t>
  </si>
  <si>
    <t>Línea base (valor)
(S07)</t>
  </si>
  <si>
    <t>Periodo / contexto de la línea base
(S07)</t>
  </si>
  <si>
    <t>Polaridad
(S08)</t>
  </si>
  <si>
    <t>Meta
(S08)</t>
  </si>
  <si>
    <t>Justificación de la meta
(S08)</t>
  </si>
  <si>
    <t>Umbral verde
(S08)</t>
  </si>
  <si>
    <t>Umbral rojo
(S08)</t>
  </si>
  <si>
    <t>Estado de la línea base
(automático)</t>
  </si>
  <si>
    <t>Responsable (rol)
(S11)</t>
  </si>
  <si>
    <t>Acción si está en rojo
(S11)</t>
  </si>
  <si>
    <t>Quién lo ve (rol / RLS)
(S11)</t>
  </si>
  <si>
    <t>Perspectiva sugerida
(S11)</t>
  </si>
  <si>
    <t>Tipo: resultado o impulsor
(S09)</t>
  </si>
  <si>
    <t>KPI relacionados (causa → efecto)
(S09)</t>
  </si>
  <si>
    <t>Impacto económico por unidad de mejora
(S10)</t>
  </si>
  <si>
    <t>% completo
(automático)</t>
  </si>
  <si>
    <t>% de viajes con desviación</t>
  </si>
  <si>
    <t>¿Qué proporción de viajes tiene al menos una lectura marcada? Apoya la priorización de controles por producto y camión.</t>
  </si>
  <si>
    <t>Táctico</t>
  </si>
  <si>
    <t>Viajes con al menos una lectura marcada dividido entre viajes observados, multiplicado por 100.</t>
  </si>
  <si>
    <t>Porcentaje</t>
  </si>
  <si>
    <t>% de lecturas con desviación</t>
  </si>
  <si>
    <t>¿Qué proporción de lecturas queda marcada? Apoya la lectura de intensidad aparente y la comparación entre productos o camiones.</t>
  </si>
  <si>
    <t>Lecturas marcadas dividido entre lecturas observadas, multiplicado por 100.</t>
  </si>
  <si>
    <t>Merma por cantidades</t>
  </si>
  <si>
    <t>¿Cuánta cantidad se pierde? Apoya la revisión de lotes y centros con peor desempeño.</t>
  </si>
  <si>
    <t>Suma de cantidad_merma dividida entre suma de cantidad_ingreso, multiplicada por 100.</t>
  </si>
  <si>
    <t>% de lotes salidos vencidos</t>
  </si>
  <si>
    <t>¿Qué proporción de lotes sale vencida? Apoya la revisión de gestión de lotes y centros.</t>
  </si>
  <si>
    <t>Lotes con salida posterior al día de vencimiento divididos entre lotes salidos, multiplicado por 100.</t>
  </si>
  <si>
    <t>Días promedio en almacén</t>
  </si>
  <si>
    <t>¿Cuánto permanece un lote antes de salir? Apoya la revisión de permanencia histórica por centro o producto.</t>
  </si>
  <si>
    <t>Promedio de dias_en_almacen de los lotes con salida.</t>
  </si>
  <si>
    <t>Días</t>
  </si>
  <si>
    <t>Polaridad: «Más es mejor» exige umbral verde mayor que el rojo (OEE, OTIF); «Menos es mejor», al revés (MTTR, % scrap, churn).</t>
  </si>
  <si>
    <t>Estado: compara la línea base con los umbrales. Amarillo = entre ambos umbrales: seguimiento, todavía no intervención.</t>
  </si>
  <si>
    <t>Diferencia con un OKR (Módulo 5): el KPI se mide siempre; un resultado clave es una meta de cambio con plazo sobre un KPI (por ejemplo, OEE de 77,7 % a 80 % este trimestre).</t>
  </si>
  <si>
    <t>REFERENCIA</t>
  </si>
  <si>
    <t>Qué va en cada campo de la ficha de KPI</t>
  </si>
  <si>
    <t>Nueve pasos de diseño, agrupados en tres bloques. Use esta hoja para completar la hoja Fichas KPI. La última columna explica para qué usa el Módulo 5 cada campo.</t>
  </si>
  <si>
    <t>Paso</t>
  </si>
  <si>
    <t>Campo de la ficha</t>
  </si>
  <si>
    <t>Pregunta que responde</t>
  </si>
  <si>
    <t>Sesión</t>
  </si>
  <si>
    <t>Ejemplo con el OEE de Acería Andina</t>
  </si>
  <si>
    <t>Para qué lo usa el Módulo 5</t>
  </si>
  <si>
    <t>A · DEFINICIÓN</t>
  </si>
  <si>
    <t>1</t>
  </si>
  <si>
    <t>KPI y decisión que apoya</t>
  </si>
  <si>
    <t>¿Qué decisión cambia según el valor de este número? Si ninguna, es una métrica, no un KPI.</t>
  </si>
  <si>
    <t>S01</t>
  </si>
  <si>
    <t>¿En qué activo y turno se pierde capacidad y qué pilar intervenir primero?</t>
  </si>
  <si>
    <t>Ubicar el KPI bajo un objetivo del mapa estratégico.</t>
  </si>
  <si>
    <t>Nivel de decisión</t>
  </si>
  <si>
    <t>¿Lo usa la gerencia (estratégico), el jefe de área (táctico) o el turno (operativo)?</t>
  </si>
  <si>
    <t>S02</t>
  </si>
  <si>
    <t>Separar KPI del mapa estratégico de los del tablero operativo.</t>
  </si>
  <si>
    <t>2</t>
  </si>
  <si>
    <t>Fórmula en palabras y unidad</t>
  </si>
  <si>
    <t>¿Cómo se calcula, sin ambigüedad, y en qué unidad se expresa?</t>
  </si>
  <si>
    <t>Disponibilidad × Rendimiento × Calidad, en %</t>
  </si>
  <si>
    <t>Una sola definición para toda la organización.</t>
  </si>
  <si>
    <t>3</t>
  </si>
  <si>
    <t>Tabla(s) fuente</t>
  </si>
  <si>
    <t>¿De qué tablas sale y cuál es la fuente oficial si hay dos?</t>
  </si>
  <si>
    <t>S03</t>
  </si>
  <si>
    <t>fact_produccion_turno, dim_activo, dim_turno, dim_fecha</t>
  </si>
  <si>
    <t>Saber qué sistema hay que mantener (roadmap tecnológico).</t>
  </si>
  <si>
    <t>Regla de calidad</t>
  </si>
  <si>
    <t>¿Qué regla impide que un dato malo mueva el KPI?</t>
  </si>
  <si>
    <t>S04</t>
  </si>
  <si>
    <t>Paradas &gt; 480 min se corrigen; filas vacías se excluyen</t>
  </si>
  <si>
    <t>Confiar en el número que se reporta en el control de gestión.</t>
  </si>
  <si>
    <t>4</t>
  </si>
  <si>
    <t>Grano y dimensiones</t>
  </si>
  <si>
    <t>¿Qué representa una fila y por qué cortes se analiza?</t>
  </si>
  <si>
    <t>S06</t>
  </si>
  <si>
    <t>Activo × turno × día; por activo, área, turno y fecha</t>
  </si>
  <si>
    <t>Desplegar metas por área, línea o zona (POA).</t>
  </si>
  <si>
    <t>Medida DAX y frecuencia</t>
  </si>
  <si>
    <t>¿Qué medida lo calcula y cada cuánto se revisa?</t>
  </si>
  <si>
    <t>S07</t>
  </si>
  <si>
    <t>[OEE]; por turno, revisión diaria</t>
  </si>
  <si>
    <t>Fijar la cadencia de revisión del tablero de gestión.</t>
  </si>
  <si>
    <t>B · CONTROL</t>
  </si>
  <si>
    <t>5</t>
  </si>
  <si>
    <t>Línea base</t>
  </si>
  <si>
    <t>¿Cuánto vale hoy, en qué periodo y contexto?</t>
  </si>
  <si>
    <t>77,7 % (COMP-04, turno B, 06/10/2026)</t>
  </si>
  <si>
    <t>Punto de partida de toda meta del POA y de todo OKR.</t>
  </si>
  <si>
    <t>6</t>
  </si>
  <si>
    <t>Polaridad, meta y justificación</t>
  </si>
  <si>
    <t>¿Más es mejor o menos es mejor? ¿Qué valor se busca y por qué ese?</t>
  </si>
  <si>
    <t>S08</t>
  </si>
  <si>
    <t>Más es mejor; 85 %, referencia de clase mundial</t>
  </si>
  <si>
    <t>Meta anual del POA; la gerencia la confirma o ajusta.</t>
  </si>
  <si>
    <t>Umbrales verde y rojo</t>
  </si>
  <si>
    <t>¿Desde qué valor está bien y desde cuál hay que intervenir?</t>
  </si>
  <si>
    <t>Verde ≥ 85 %, rojo &lt; 75 %; 77,7 % queda en amarillo</t>
  </si>
  <si>
    <t>Semáforo del tablero de gestión.</t>
  </si>
  <si>
    <t>7</t>
  </si>
  <si>
    <t>Responsable y acción</t>
  </si>
  <si>
    <t>¿Quién responde por el número y qué hace si se pone en rojo?</t>
  </si>
  <si>
    <t>S11</t>
  </si>
  <si>
    <t>Jefe de área de Laminación; revisar paradas y abrir análisis de causa</t>
  </si>
  <si>
    <t>Asignar dueños de objetivos y de resultados clave.</t>
  </si>
  <si>
    <t>Quién lo ve</t>
  </si>
  <si>
    <t>¿Qué roles pueden ver el KPI y con qué filtro?</t>
  </si>
  <si>
    <t>Gerencia: todo · jefe de área: su área · supervisor: su activo y turno (RLS)</t>
  </si>
  <si>
    <t>Distribuir el tablero de gestión por nivel.</t>
  </si>
  <si>
    <t>C · ENLACE ESTRATÉGICO (propuesta)</t>
  </si>
  <si>
    <t>8</t>
  </si>
  <si>
    <t>Tipo y KPI relacionados</t>
  </si>
  <si>
    <t>¿Es un resultado o un impulsor? ¿Qué KPI lo mueven y a cuál mueve él?</t>
  </si>
  <si>
    <t>S09</t>
  </si>
  <si>
    <t>Resultado; lo mueven Disponibilidad y scrap; mueve el costo por tonelada</t>
  </si>
  <si>
    <t>Dibujar las relaciones causa-efecto del mapa estratégico.</t>
  </si>
  <si>
    <t>Perspectiva sugerida</t>
  </si>
  <si>
    <t>¿Financiera, clientes, procesos internos o aprendizaje y crecimiento?</t>
  </si>
  <si>
    <t>Procesos internos</t>
  </si>
  <si>
    <t>Ubicar el KPI en una perspectiva del mapa estratégico.</t>
  </si>
  <si>
    <t>9</t>
  </si>
  <si>
    <t>Impacto económico</t>
  </si>
  <si>
    <t>¿Cuánto dinero vale mejorar una unidad del KPI?</t>
  </si>
  <si>
    <t>S10</t>
  </si>
  <si>
    <t>1 pp de scrap ≈ $5.400 por año</t>
  </si>
  <si>
    <t>Justificar el presupuesto de cada iniciativa.</t>
  </si>
  <si>
    <t>SESIÓN 01 · PREPARACIÓN</t>
  </si>
  <si>
    <t>Una fila por tabla que recibe el equipo. Cargue cada tabla en Power BI y anote lo que ve antes de usarla.</t>
  </si>
  <si>
    <t>Tabla / archivo</t>
  </si>
  <si>
    <t>Qué representa una fila</t>
  </si>
  <si>
    <t>Columnas clave</t>
  </si>
  <si>
    <t>Filas</t>
  </si>
  <si>
    <t>Columnas</t>
  </si>
  <si>
    <t>Brecha observada</t>
  </si>
  <si>
    <t>Responsable de revisarla</t>
  </si>
  <si>
    <t>andinalog_iot_telemetry_silver.csv</t>
  </si>
  <si>
    <t>Una lectura dentro de un viaje.</t>
  </si>
  <si>
    <t>viaje_id + minutos_desde_despacho; también viaje_id + timestamp.</t>
  </si>
  <si>
    <t>Excepción demostrada: 26 lecturas en límites térmicos; 14 órdenes o viajes con 339 lecturas en dos particiones y 43 positivas. Se registran y no se corrigen en S01.</t>
  </si>
  <si>
    <t>andinalog_productos_silver.csv</t>
  </si>
  <si>
    <t>Un producto.</t>
  </si>
  <si>
    <t>producto_id.</t>
  </si>
  <si>
    <t>Sin brecha observada. Diferencia de cobertura: 70 de 120 productos aparecen en telemetría; no es error de calidad.</t>
  </si>
  <si>
    <t>andinalog_flota_silver.csv</t>
  </si>
  <si>
    <t>Un camión.</t>
  </si>
  <si>
    <t>camion_id.</t>
  </si>
  <si>
    <t>Sin brecha observada. Diferencia de definición: el centro base no equivale necesariamente al centro operativo; decisión de modelado pendiente.</t>
  </si>
  <si>
    <t>andinalog_inventory_tracking_silver.csv</t>
  </si>
  <si>
    <t>Un lote con ingreso, salida y merma.</t>
  </si>
  <si>
    <t>lote_id; movimiento_id.</t>
  </si>
  <si>
    <t>Sin brecha observada. Limitación de alcance: todos los lotes ya salieron; no hay stock vigente en esta entrega.</t>
  </si>
  <si>
    <t>andinalog_warehouse_costs_silver.csv</t>
  </si>
  <si>
    <t>Un centro en un mes.</t>
  </si>
  <si>
    <t>centro_distribucion + periodo_mes.</t>
  </si>
  <si>
    <t>Sin brecha observada. Decisión de modelado: relación temporal con el calendario pendiente; no es error de calidad.</t>
  </si>
  <si>
    <t>SESIÓN 02 · HITO</t>
  </si>
  <si>
    <t>Una fila por tabla. Parta de la brecha DCAM priorizada: el control debe responder a ella.</t>
  </si>
  <si>
    <t>2026-10-27</t>
  </si>
  <si>
    <t>Archivo / tabla</t>
  </si>
  <si>
    <t>Granularidad</t>
  </si>
  <si>
    <t>Identificador único</t>
  </si>
  <si>
    <t>Frecuencia</t>
  </si>
  <si>
    <t>Propietario</t>
  </si>
  <si>
    <t>Riesgo</t>
  </si>
  <si>
    <t>Control propuesto</t>
  </si>
  <si>
    <t>Una lectura dentro de un viaje</t>
  </si>
  <si>
    <t>viaje_id + minutos_desde_despacho</t>
  </si>
  <si>
    <t>Observación cada 30 min; actualización por acordar</t>
  </si>
  <si>
    <t>Por acordar; revisión Grupo 06</t>
  </si>
  <si>
    <t>Interpretar el centro del camión como centro real del viaje</t>
  </si>
  <si>
    <t>Documentar el límite y no usar el centro base como ruta; control de clave compuesta</t>
  </si>
  <si>
    <t>Un producto</t>
  </si>
  <si>
    <t>producto_id</t>
  </si>
  <si>
    <t>Catálogo; actualización por acordar</t>
  </si>
  <si>
    <t>Extrapolar KPI térmicos a todo el catálogo</t>
  </si>
  <si>
    <t>Registrar cobertura 70 de 120 en telemetría</t>
  </si>
  <si>
    <t>Un camión</t>
  </si>
  <si>
    <t>camion_id</t>
  </si>
  <si>
    <t>Usar centro_distribucion_base como centro operativo</t>
  </si>
  <si>
    <t>Mantener la distinción base/operativo y registrarla como pendiente</t>
  </si>
  <si>
    <t>Un lote con ingreso, salida y merma en esta entrega</t>
  </si>
  <si>
    <t>lote_id; movimiento_id único en esta entrega</t>
  </si>
  <si>
    <t>Sin periodicidad fija: una fila por lote contiene las fechas de ingreso y salida; actualización por acordar</t>
  </si>
  <si>
    <t>Leer vencimiento como stock vigente</t>
  </si>
  <si>
    <t>Declarar que todos los lotes salieron; KPI históricos</t>
  </si>
  <si>
    <t>Un centro en un mes</t>
  </si>
  <si>
    <t>centro_distribucion + periodo_mes</t>
  </si>
  <si>
    <t>Mensual; actualización por acordar</t>
  </si>
  <si>
    <t>Asignar costos a productos sin regla</t>
  </si>
  <si>
    <t>No asignar; relación temporal en S06</t>
  </si>
  <si>
    <t>SESIÓN 03 · HITO</t>
  </si>
  <si>
    <t>Una fila por fuente conectada. Perfil de columnas sobre todo el conjunto de datos.</t>
  </si>
  <si>
    <t>Fuente</t>
  </si>
  <si>
    <t>Conector</t>
  </si>
  <si>
    <t>Parámetro de ruta</t>
  </si>
  <si>
    <t>Nivel de privacidad</t>
  </si>
  <si>
    <t>Excepción encontrada</t>
  </si>
  <si>
    <t>Regla propuesta para S04</t>
  </si>
  <si>
    <t>fact_ordenes_silver.csv</t>
  </si>
  <si>
    <t>Texto/CSV</t>
  </si>
  <si>
    <t>RutaCrudo</t>
  </si>
  <si>
    <t>Organizacional</t>
  </si>
  <si>
    <t>12 órdenes sin id_activo</t>
  </si>
  <si>
    <t>Consulta de excepciones, no se borran</t>
  </si>
  <si>
    <t>SESIÓN 04 · HITO</t>
  </si>
  <si>
    <t>Una fila por regla aplicada. Marcar es mejor que borrar cuando no hay certeza.</t>
  </si>
  <si>
    <t>Regla</t>
  </si>
  <si>
    <t>Paso de Power Query (nombre)</t>
  </si>
  <si>
    <t>Filas antes</t>
  </si>
  <si>
    <t>Filas afectadas</t>
  </si>
  <si>
    <t>Filas después</t>
  </si>
  <si>
    <t>Decisión</t>
  </si>
  <si>
    <t>Limitación que queda</t>
  </si>
  <si>
    <t>Quitar duplicados exactos</t>
  </si>
  <si>
    <t>QuitarDuplicados</t>
  </si>
  <si>
    <t>Excluir</t>
  </si>
  <si>
    <t>Clave de negocio: fecha + turno + activo</t>
  </si>
  <si>
    <t>SESIONES 05–06 · HITO</t>
  </si>
  <si>
    <t>Una fila por tabla del modelo. La prueba demuestra que el filtro llega o que el total se conserva.</t>
  </si>
  <si>
    <t>Tabla</t>
  </si>
  <si>
    <t>Tipo</t>
  </si>
  <si>
    <t>Grano (qué es una fila)</t>
  </si>
  <si>
    <t>Clave</t>
  </si>
  <si>
    <t>Se relaciona con</t>
  </si>
  <si>
    <t>Cardinalidad</t>
  </si>
  <si>
    <t>Dirección</t>
  </si>
  <si>
    <t>Prueba y resultado</t>
  </si>
  <si>
    <t>fact_produccion_turno</t>
  </si>
  <si>
    <t>Hecho</t>
  </si>
  <si>
    <t>Un turno de un activo en un día</t>
  </si>
  <si>
    <t>fecha+turno+id_activo</t>
  </si>
  <si>
    <t>dim_activo</t>
  </si>
  <si>
    <t>Varios a uno</t>
  </si>
  <si>
    <t>Única</t>
  </si>
  <si>
    <t>Toneladas por área suman 483.857,58 t</t>
  </si>
  <si>
    <t>SESIÓN 07 · HITO</t>
  </si>
  <si>
    <t>Tres KPI como mínimo. El cálculo manual se hace sobre una fila o periodo conocido. La columna Coincide se calcula sola. Cada KPI validado aquí debe tener su fila en la hoja Fichas KPI.</t>
  </si>
  <si>
    <t>KPI</t>
  </si>
  <si>
    <t>Medida DAX (nombre)</t>
  </si>
  <si>
    <t>Contexto de prueba</t>
  </si>
  <si>
    <t>Cálculo manual</t>
  </si>
  <si>
    <t>Valor en Power BI</t>
  </si>
  <si>
    <t>¿Coincide?</t>
  </si>
  <si>
    <t>Si no coincide: dónde se separa</t>
  </si>
  <si>
    <t>OEE</t>
  </si>
  <si>
    <t>COMP-04 · turno B · 06/10/2026</t>
  </si>
  <si>
    <t>SESIÓN 10 · HITO</t>
  </si>
  <si>
    <t>Una fila por parámetro What-if. El rango debe ser físicamente posible y tener fuente.</t>
  </si>
  <si>
    <t>Variable</t>
  </si>
  <si>
    <t>Fuente del valor</t>
  </si>
  <si>
    <t>Unidad</t>
  </si>
  <si>
    <t>Mínimo</t>
  </si>
  <si>
    <t>Centro</t>
  </si>
  <si>
    <t>Máximo</t>
  </si>
  <si>
    <t>Qué se mantiene constante</t>
  </si>
  <si>
    <t>Resultado mín / centro / máx</t>
  </si>
  <si>
    <t>Calidad</t>
  </si>
  <si>
    <t>Observada 2026 (dataset)</t>
  </si>
  <si>
    <t>%</t>
  </si>
  <si>
    <t>Disponibilidad y rendimiento</t>
  </si>
  <si>
    <t>77,7 % / 78,5 % / 79,3 %</t>
  </si>
  <si>
    <t>SESIÓN 11 · HITO</t>
  </si>
  <si>
    <t>Una fila por prueba con Ver como rol. Incluya siempre una prueba negativa y un usuario sin mapeo. El resultado se calcula solo.</t>
  </si>
  <si>
    <t>Usuario (correo)</t>
  </si>
  <si>
    <t>Rol</t>
  </si>
  <si>
    <t>Qué debería ver</t>
  </si>
  <si>
    <t>Filas esperadas</t>
  </si>
  <si>
    <t>Filas vistas</t>
  </si>
  <si>
    <t>Resultado</t>
  </si>
  <si>
    <t>Observación</t>
  </si>
  <si>
    <t>sloayza@aceria-andina.example</t>
  </si>
  <si>
    <t>Supervisor de turno</t>
  </si>
  <si>
    <t>Solo COMP-04, turno B</t>
  </si>
  <si>
    <t>SESIÓN 12 · PREENTREGA</t>
  </si>
  <si>
    <t>Entre 3 y 5 mejoras priorizadas por impacto en la decisión. En la Sesión 13 se presenta el estado de cada una (criterio 7 de la rúbrica).</t>
  </si>
  <si>
    <t>N.º</t>
  </si>
  <si>
    <t>Hallazgo (qué, dónde y por qué afecta la decisión)</t>
  </si>
  <si>
    <t>Criterio de la rúbrica</t>
  </si>
  <si>
    <t>Mejora concreta</t>
  </si>
  <si>
    <t>Responsable</t>
  </si>
  <si>
    <t>Evidencia que se mostrará</t>
  </si>
  <si>
    <t>Estado en S13</t>
  </si>
  <si>
    <t>La tarjeta de OEE no distingue observado y simulado</t>
  </si>
  <si>
    <t>4. Visualización</t>
  </si>
  <si>
    <t>Rotular «OEE observado» y «OEE escenario»</t>
  </si>
  <si>
    <t>Luis</t>
  </si>
  <si>
    <t>Captura antes/después</t>
  </si>
  <si>
    <t>Aplicada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</si>
</sst>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b/>
      <sz val="16"/>
      <color rgb="FF1F3A5F"/>
      <name val="Cambria"/>
      <charset val="1"/>
    </font>
    <font>
      <b/>
      <sz val="11"/>
      <color rgb="FFFFFFFF"/>
      <name val="Cambria"/>
      <charset val="1"/>
    </font>
    <font>
      <u/>
      <sz val="11"/>
      <color rgb="FF0563C1"/>
      <name val="Cambria"/>
      <charset val="1"/>
    </font>
    <font>
      <i/>
      <sz val="11"/>
      <color rgb="FF595959"/>
      <name val="Cambria"/>
      <charset val="1"/>
    </font>
    <font>
      <b/>
      <sz val="9"/>
      <color rgb="FFE07A1F"/>
      <name val="Cambria"/>
      <charset val="1"/>
    </font>
    <font>
      <b/>
      <sz val="14"/>
      <color rgb="FF1F3A5F"/>
      <name val="Cambria"/>
      <charset val="1"/>
    </font>
    <font>
      <b/>
      <sz val="11"/>
      <name val="Cambria"/>
      <charset val="1"/>
    </font>
    <font>
      <b/>
      <sz val="11"/>
      <color rgb="FF1F3A5F"/>
      <name val="Cambria"/>
      <charset val="1"/>
    </font>
    <font>
      <b/>
      <sz val="11"/>
      <color rgb="FFC55A11"/>
      <name val="Cambria"/>
      <charset val="1"/>
    </font>
    <font>
      <i/>
      <sz val="11"/>
      <color rgb="FF7F7F7F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D9E1EA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AF1F8"/>
      </patternFill>
    </fill>
    <fill>
      <patternFill patternType="solid">
        <fgColor rgb="FFEAF1F8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9" fontId="0" fillId="6" borderId="1" xfId="0" applyNumberForma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0" fillId="5" borderId="1" xfId="0" applyFont="1" applyFill="1" applyBorder="1" applyAlignment="1">
      <alignment vertical="top" wrapText="1"/>
    </xf>
    <xf numFmtId="3" fontId="10" fillId="5" borderId="1" xfId="0" applyNumberFormat="1" applyFont="1" applyFill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164" fontId="10" fillId="5" borderId="1" xfId="0" applyNumberFormat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9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8" fillId="3" borderId="1" xfId="0" applyFont="1" applyFill="1" applyBorder="1" applyAlignment="1">
      <alignment horizontal="left" vertical="center"/>
    </xf>
    <xf numFmtId="0" fontId="8" fillId="4" borderId="1" xfId="0" applyFont="1" applyFill="1" applyBorder="1"/>
    <xf numFmtId="0" fontId="8" fillId="3" borderId="1" xfId="0" applyFont="1" applyFill="1" applyBorder="1"/>
  </cellXfs>
  <cellStyles count="1">
    <cellStyle name="Normal" xfId="0" builtinId="0"/>
  </cellStyles>
  <dxfs count="4">
    <dxf>
      <font>
        <b/>
        <color rgb="FF595959"/>
      </font>
      <fill>
        <patternFill>
          <bgColor rgb="FFD9D9D9"/>
        </patternFill>
      </fill>
    </dxf>
    <dxf>
      <font>
        <b/>
        <color rgb="FF9C0006"/>
      </font>
      <fill>
        <patternFill>
          <bgColor rgb="FFF8CBAD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2CC"/>
      <rgbColor rgb="FFEAF1F8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D9E1EA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E07A1F"/>
      <rgbColor rgb="FF595959"/>
      <rgbColor rgb="FF969696"/>
      <rgbColor rgb="FF1F3A5F"/>
      <rgbColor rgb="FF339966"/>
      <rgbColor rgb="FF003300"/>
      <rgbColor rgb="FF333300"/>
      <rgbColor rgb="FFC55A11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8"/>
  <sheetViews>
    <sheetView tabSelected="1" zoomScaleNormal="100" workbookViewId="0"/>
  </sheetViews>
  <sheetFormatPr defaultColWidth="8.7109375" defaultRowHeight="15" x14ac:dyDescent="0.25"/>
  <cols>
    <col min="1" max="1" width="20" customWidth="1"/>
    <col min="2" max="2" width="24" customWidth="1"/>
    <col min="3" max="3" width="48" customWidth="1"/>
  </cols>
  <sheetData>
    <row r="1" spans="1:3" ht="19.5" customHeight="1" x14ac:dyDescent="0.3">
      <c r="A1" s="1" t="s">
        <v>0</v>
      </c>
    </row>
    <row r="2" spans="1:3" ht="31.5" customHeight="1" x14ac:dyDescent="0.25">
      <c r="A2" s="19" t="s">
        <v>1</v>
      </c>
      <c r="B2" s="20"/>
      <c r="C2" s="20"/>
    </row>
    <row r="3" spans="1:3" ht="31.5" customHeight="1" x14ac:dyDescent="0.25">
      <c r="A3" s="19" t="s">
        <v>2</v>
      </c>
      <c r="B3" s="20"/>
      <c r="C3" s="20"/>
    </row>
    <row r="5" spans="1:3" ht="15" customHeight="1" x14ac:dyDescent="0.25">
      <c r="A5" s="2" t="s">
        <v>3</v>
      </c>
      <c r="B5" s="2" t="s">
        <v>4</v>
      </c>
      <c r="C5" s="2" t="s">
        <v>5</v>
      </c>
    </row>
    <row r="6" spans="1:3" ht="15" customHeight="1" x14ac:dyDescent="0.25">
      <c r="A6" s="3" t="s">
        <v>6</v>
      </c>
      <c r="B6" t="s">
        <v>7</v>
      </c>
      <c r="C6" t="s">
        <v>8</v>
      </c>
    </row>
    <row r="7" spans="1:3" ht="15" customHeight="1" x14ac:dyDescent="0.25">
      <c r="A7" s="3" t="s">
        <v>9</v>
      </c>
      <c r="B7" t="s">
        <v>10</v>
      </c>
      <c r="C7" t="s">
        <v>11</v>
      </c>
    </row>
    <row r="8" spans="1:3" ht="15" customHeight="1" x14ac:dyDescent="0.25">
      <c r="A8" s="3" t="s">
        <v>12</v>
      </c>
      <c r="B8" t="s">
        <v>13</v>
      </c>
      <c r="C8" t="s">
        <v>14</v>
      </c>
    </row>
    <row r="9" spans="1:3" ht="15" customHeight="1" x14ac:dyDescent="0.25">
      <c r="A9" s="3" t="s">
        <v>15</v>
      </c>
      <c r="B9" t="s">
        <v>16</v>
      </c>
      <c r="C9" t="s">
        <v>17</v>
      </c>
    </row>
    <row r="10" spans="1:3" ht="15" customHeight="1" x14ac:dyDescent="0.25">
      <c r="A10" s="3" t="s">
        <v>18</v>
      </c>
      <c r="B10" t="s">
        <v>19</v>
      </c>
      <c r="C10" t="s">
        <v>20</v>
      </c>
    </row>
    <row r="11" spans="1:3" ht="15" customHeight="1" x14ac:dyDescent="0.25">
      <c r="A11" s="3" t="s">
        <v>21</v>
      </c>
      <c r="B11" t="s">
        <v>22</v>
      </c>
      <c r="C11" t="s">
        <v>23</v>
      </c>
    </row>
    <row r="12" spans="1:3" ht="15" customHeight="1" x14ac:dyDescent="0.25">
      <c r="A12" s="3" t="s">
        <v>24</v>
      </c>
      <c r="B12" t="s">
        <v>25</v>
      </c>
      <c r="C12" t="s">
        <v>26</v>
      </c>
    </row>
    <row r="13" spans="1:3" ht="15" customHeight="1" x14ac:dyDescent="0.25">
      <c r="A13" s="3" t="s">
        <v>27</v>
      </c>
      <c r="B13" t="s">
        <v>28</v>
      </c>
      <c r="C13" t="s">
        <v>29</v>
      </c>
    </row>
    <row r="14" spans="1:3" ht="15" customHeight="1" x14ac:dyDescent="0.25">
      <c r="A14" s="3" t="s">
        <v>30</v>
      </c>
      <c r="B14" t="s">
        <v>31</v>
      </c>
      <c r="C14" t="s">
        <v>32</v>
      </c>
    </row>
    <row r="15" spans="1:3" ht="15" customHeight="1" x14ac:dyDescent="0.25">
      <c r="A15" s="3" t="s">
        <v>33</v>
      </c>
      <c r="B15" t="s">
        <v>34</v>
      </c>
      <c r="C15" t="s">
        <v>35</v>
      </c>
    </row>
    <row r="16" spans="1:3" ht="15" customHeight="1" x14ac:dyDescent="0.25">
      <c r="A16" s="3" t="s">
        <v>36</v>
      </c>
      <c r="B16" t="s">
        <v>37</v>
      </c>
      <c r="C16" t="s">
        <v>38</v>
      </c>
    </row>
    <row r="18" spans="1:1" ht="15" customHeight="1" x14ac:dyDescent="0.25">
      <c r="A18" s="4" t="s">
        <v>39</v>
      </c>
    </row>
  </sheetData>
  <mergeCells count="2">
    <mergeCell ref="A3:C3"/>
    <mergeCell ref="A2:C2"/>
  </mergeCells>
  <hyperlinks>
    <hyperlink ref="A6" location="'Fichas KPI'!A1" display="Fichas KPI" xr:uid="{00000000-0004-0000-0000-000000000000}"/>
    <hyperlink ref="A7" location="'Campos ficha KPI'!A1" display="Campos ficha KPI" xr:uid="{00000000-0004-0000-0000-000001000000}"/>
    <hyperlink ref="A8" location="'S01 Inventario'!A1" display="S01 Inventario" xr:uid="{00000000-0004-0000-0000-000002000000}"/>
    <hyperlink ref="A9" location="'S02 Mapa Silver'!A1" display="S02 Mapa Silver" xr:uid="{00000000-0004-0000-0000-000003000000}"/>
    <hyperlink ref="A10" location="'S03 Linaje'!A1" display="S03 Linaje" xr:uid="{00000000-0004-0000-0000-000004000000}"/>
    <hyperlink ref="A11" location="'S04 Antes-después'!A1" display="S04 Antes-después" xr:uid="{00000000-0004-0000-0000-000005000000}"/>
    <hyperlink ref="A12" location="'S05-S06 Modelo'!A1" display="S05-S06 Modelo" xr:uid="{00000000-0004-0000-0000-000006000000}"/>
    <hyperlink ref="A13" location="'S07 KPI'!A1" display="S07 KPI" xr:uid="{00000000-0004-0000-0000-000007000000}"/>
    <hyperlink ref="A14" location="'S10 Supuestos'!A1" display="S10 Supuestos" xr:uid="{00000000-0004-0000-0000-000008000000}"/>
    <hyperlink ref="A15" location="'S11 Pruebas RLS'!A1" display="S11 Pruebas RLS" xr:uid="{00000000-0004-0000-0000-000009000000}"/>
    <hyperlink ref="A16" location="'S12 Mejoras'!A1" display="S12 Mejoras" xr:uid="{00000000-0004-0000-0000-00000A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7109375" defaultRowHeight="15" x14ac:dyDescent="0.25"/>
  <cols>
    <col min="1" max="1" width="20" customWidth="1"/>
    <col min="2" max="2" width="34" customWidth="1"/>
    <col min="3" max="3" width="14" customWidth="1"/>
    <col min="4" max="4" width="30" customWidth="1"/>
    <col min="5" max="5" width="10" customWidth="1"/>
    <col min="6" max="6" width="26" customWidth="1"/>
    <col min="7" max="7" width="32" customWidth="1"/>
    <col min="8" max="8" width="20" customWidth="1"/>
    <col min="9" max="9" width="22" customWidth="1"/>
    <col min="10" max="10" width="30" customWidth="1"/>
    <col min="11" max="11" width="16" customWidth="1"/>
    <col min="12" max="12" width="12" customWidth="1"/>
    <col min="13" max="13" width="24" customWidth="1"/>
    <col min="14" max="14" width="14" customWidth="1"/>
    <col min="15" max="15" width="10" customWidth="1"/>
    <col min="16" max="16" width="34" customWidth="1"/>
    <col min="17" max="18" width="11" customWidth="1"/>
    <col min="19" max="19" width="14" customWidth="1"/>
    <col min="20" max="20" width="20" customWidth="1"/>
    <col min="21" max="21" width="30" customWidth="1"/>
    <col min="22" max="22" width="26" customWidth="1"/>
    <col min="23" max="23" width="18" customWidth="1"/>
    <col min="24" max="24" width="14" customWidth="1"/>
    <col min="25" max="25" width="32" customWidth="1"/>
    <col min="26" max="26" width="30" customWidth="1"/>
    <col min="27" max="27" width="10" customWidth="1"/>
  </cols>
  <sheetData>
    <row r="1" spans="1:27" ht="15" customHeight="1" x14ac:dyDescent="0.25">
      <c r="A1" s="5" t="s">
        <v>40</v>
      </c>
    </row>
    <row r="2" spans="1:27" ht="17.25" customHeight="1" x14ac:dyDescent="0.25">
      <c r="A2" s="6" t="s">
        <v>41</v>
      </c>
    </row>
    <row r="3" spans="1:27" ht="45" customHeight="1" x14ac:dyDescent="0.25">
      <c r="A3" s="19" t="s">
        <v>42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 ht="15" customHeight="1" x14ac:dyDescent="0.25">
      <c r="A4" s="7" t="s">
        <v>43</v>
      </c>
      <c r="B4" t="s">
        <v>44</v>
      </c>
      <c r="C4" s="7" t="s">
        <v>45</v>
      </c>
      <c r="D4" t="s">
        <v>46</v>
      </c>
      <c r="E4" s="7" t="s">
        <v>47</v>
      </c>
      <c r="F4" t="s">
        <v>48</v>
      </c>
    </row>
    <row r="5" spans="1:27" ht="19.5" customHeight="1" x14ac:dyDescent="0.25">
      <c r="A5" s="24" t="s">
        <v>49</v>
      </c>
      <c r="B5" s="22"/>
      <c r="C5" s="22"/>
      <c r="D5" s="22"/>
      <c r="E5" s="22"/>
      <c r="F5" s="22"/>
      <c r="G5" s="22"/>
      <c r="H5" s="22"/>
      <c r="I5" s="22"/>
      <c r="J5" s="22"/>
      <c r="K5" s="23"/>
      <c r="L5" s="24" t="s">
        <v>50</v>
      </c>
      <c r="M5" s="22"/>
      <c r="N5" s="22"/>
      <c r="O5" s="22"/>
      <c r="P5" s="22"/>
      <c r="Q5" s="22"/>
      <c r="R5" s="22"/>
      <c r="S5" s="22"/>
      <c r="T5" s="22"/>
      <c r="U5" s="22"/>
      <c r="V5" s="23"/>
      <c r="W5" s="21" t="s">
        <v>51</v>
      </c>
      <c r="X5" s="22"/>
      <c r="Y5" s="22"/>
      <c r="Z5" s="22"/>
      <c r="AA5" s="23"/>
    </row>
    <row r="6" spans="1:27" ht="45.75" customHeight="1" x14ac:dyDescent="0.25">
      <c r="A6" s="8" t="s">
        <v>52</v>
      </c>
      <c r="B6" s="8" t="s">
        <v>53</v>
      </c>
      <c r="C6" s="8" t="s">
        <v>54</v>
      </c>
      <c r="D6" s="8" t="s">
        <v>55</v>
      </c>
      <c r="E6" s="8" t="s">
        <v>56</v>
      </c>
      <c r="F6" s="8" t="s">
        <v>57</v>
      </c>
      <c r="G6" s="8" t="s">
        <v>58</v>
      </c>
      <c r="H6" s="8" t="s">
        <v>59</v>
      </c>
      <c r="I6" s="8" t="s">
        <v>60</v>
      </c>
      <c r="J6" s="8" t="s">
        <v>61</v>
      </c>
      <c r="K6" s="8" t="s">
        <v>62</v>
      </c>
      <c r="L6" s="8" t="s">
        <v>63</v>
      </c>
      <c r="M6" s="8" t="s">
        <v>64</v>
      </c>
      <c r="N6" s="8" t="s">
        <v>65</v>
      </c>
      <c r="O6" s="8" t="s">
        <v>66</v>
      </c>
      <c r="P6" s="8" t="s">
        <v>67</v>
      </c>
      <c r="Q6" s="8" t="s">
        <v>68</v>
      </c>
      <c r="R6" s="8" t="s">
        <v>69</v>
      </c>
      <c r="S6" s="8" t="s">
        <v>70</v>
      </c>
      <c r="T6" s="8" t="s">
        <v>71</v>
      </c>
      <c r="U6" s="8" t="s">
        <v>72</v>
      </c>
      <c r="V6" s="8" t="s">
        <v>73</v>
      </c>
      <c r="W6" s="8" t="s">
        <v>74</v>
      </c>
      <c r="X6" s="8" t="s">
        <v>75</v>
      </c>
      <c r="Y6" s="8" t="s">
        <v>76</v>
      </c>
      <c r="Z6" s="8" t="s">
        <v>77</v>
      </c>
      <c r="AA6" s="8" t="s">
        <v>78</v>
      </c>
    </row>
    <row r="7" spans="1:27" ht="60" customHeight="1" x14ac:dyDescent="0.25">
      <c r="A7" s="9" t="s">
        <v>79</v>
      </c>
      <c r="B7" s="9" t="s">
        <v>80</v>
      </c>
      <c r="C7" s="9" t="s">
        <v>81</v>
      </c>
      <c r="D7" s="9" t="s">
        <v>82</v>
      </c>
      <c r="E7" s="9" t="s">
        <v>83</v>
      </c>
      <c r="F7" s="9"/>
      <c r="G7" s="9"/>
      <c r="H7" s="9"/>
      <c r="I7" s="9"/>
      <c r="J7" s="9"/>
      <c r="K7" s="9"/>
      <c r="L7" s="10"/>
      <c r="M7" s="9"/>
      <c r="N7" s="9"/>
      <c r="O7" s="10"/>
      <c r="P7" s="9"/>
      <c r="Q7" s="10"/>
      <c r="R7" s="10"/>
      <c r="S7" s="11" t="str">
        <f t="shared" ref="S7:S15" si="0">IF(OR(L7="",N7="",Q7="",R7=""),"",IF(N7="Más es mejor",IF(Q7&lt;=R7,"Revise umbrales",IF(L7&gt;=Q7,"Verde",IF(L7&lt;R7,"Rojo","Amarillo"))),IF(Q7&gt;=R7,"Revise umbrales",IF(L7&lt;=Q7,"Verde",IF(L7&gt;R7,"Rojo","Amarillo")))))</f>
        <v/>
      </c>
      <c r="T7" s="9"/>
      <c r="U7" s="9"/>
      <c r="V7" s="9"/>
      <c r="W7" s="9"/>
      <c r="X7" s="9"/>
      <c r="Y7" s="9"/>
      <c r="Z7" s="9"/>
      <c r="AA7" s="12">
        <f t="shared" ref="AA7:AA15" si="1">IF(A7="","",COUNTA(A7:R7,T7:Z7)/25)</f>
        <v>0.2</v>
      </c>
    </row>
    <row r="8" spans="1:27" ht="60" customHeight="1" x14ac:dyDescent="0.25">
      <c r="A8" s="9" t="s">
        <v>84</v>
      </c>
      <c r="B8" s="9" t="s">
        <v>85</v>
      </c>
      <c r="C8" s="9" t="s">
        <v>81</v>
      </c>
      <c r="D8" s="9" t="s">
        <v>86</v>
      </c>
      <c r="E8" s="9" t="s">
        <v>83</v>
      </c>
      <c r="F8" s="9"/>
      <c r="G8" s="9"/>
      <c r="H8" s="9"/>
      <c r="I8" s="9"/>
      <c r="J8" s="9"/>
      <c r="K8" s="9"/>
      <c r="L8" s="10"/>
      <c r="M8" s="9"/>
      <c r="N8" s="9"/>
      <c r="O8" s="10"/>
      <c r="P8" s="9"/>
      <c r="Q8" s="10"/>
      <c r="R8" s="10"/>
      <c r="S8" s="11" t="str">
        <f t="shared" si="0"/>
        <v/>
      </c>
      <c r="T8" s="9"/>
      <c r="U8" s="9"/>
      <c r="V8" s="9"/>
      <c r="W8" s="9"/>
      <c r="X8" s="9"/>
      <c r="Y8" s="9"/>
      <c r="Z8" s="9"/>
      <c r="AA8" s="12">
        <f t="shared" si="1"/>
        <v>0.2</v>
      </c>
    </row>
    <row r="9" spans="1:27" ht="60" customHeight="1" x14ac:dyDescent="0.25">
      <c r="A9" s="9" t="s">
        <v>87</v>
      </c>
      <c r="B9" s="9" t="s">
        <v>88</v>
      </c>
      <c r="C9" s="9" t="s">
        <v>81</v>
      </c>
      <c r="D9" s="9" t="s">
        <v>89</v>
      </c>
      <c r="E9" s="9" t="s">
        <v>83</v>
      </c>
      <c r="F9" s="9"/>
      <c r="G9" s="9"/>
      <c r="H9" s="9"/>
      <c r="I9" s="9"/>
      <c r="J9" s="9"/>
      <c r="K9" s="9"/>
      <c r="L9" s="10"/>
      <c r="M9" s="9"/>
      <c r="N9" s="9"/>
      <c r="O9" s="10"/>
      <c r="P9" s="9"/>
      <c r="Q9" s="10"/>
      <c r="R9" s="10"/>
      <c r="S9" s="11" t="str">
        <f t="shared" si="0"/>
        <v/>
      </c>
      <c r="T9" s="9"/>
      <c r="U9" s="9"/>
      <c r="V9" s="9"/>
      <c r="W9" s="9"/>
      <c r="X9" s="9"/>
      <c r="Y9" s="9"/>
      <c r="Z9" s="9"/>
      <c r="AA9" s="12">
        <f t="shared" si="1"/>
        <v>0.2</v>
      </c>
    </row>
    <row r="10" spans="1:27" ht="60" customHeight="1" x14ac:dyDescent="0.25">
      <c r="A10" s="9" t="s">
        <v>90</v>
      </c>
      <c r="B10" s="9" t="s">
        <v>91</v>
      </c>
      <c r="C10" s="9" t="s">
        <v>81</v>
      </c>
      <c r="D10" s="9" t="s">
        <v>92</v>
      </c>
      <c r="E10" s="9" t="s">
        <v>83</v>
      </c>
      <c r="F10" s="9"/>
      <c r="G10" s="9"/>
      <c r="H10" s="9"/>
      <c r="I10" s="9"/>
      <c r="J10" s="9"/>
      <c r="K10" s="9"/>
      <c r="L10" s="10"/>
      <c r="M10" s="9"/>
      <c r="N10" s="9"/>
      <c r="O10" s="10"/>
      <c r="P10" s="9"/>
      <c r="Q10" s="10"/>
      <c r="R10" s="10"/>
      <c r="S10" s="11" t="str">
        <f t="shared" si="0"/>
        <v/>
      </c>
      <c r="T10" s="9"/>
      <c r="U10" s="9"/>
      <c r="V10" s="9"/>
      <c r="W10" s="9"/>
      <c r="X10" s="9"/>
      <c r="Y10" s="9"/>
      <c r="Z10" s="9"/>
      <c r="AA10" s="12">
        <f t="shared" si="1"/>
        <v>0.2</v>
      </c>
    </row>
    <row r="11" spans="1:27" ht="60" customHeight="1" x14ac:dyDescent="0.25">
      <c r="A11" s="9" t="s">
        <v>93</v>
      </c>
      <c r="B11" s="9" t="s">
        <v>94</v>
      </c>
      <c r="C11" s="9" t="s">
        <v>81</v>
      </c>
      <c r="D11" s="9" t="s">
        <v>95</v>
      </c>
      <c r="E11" s="9" t="s">
        <v>96</v>
      </c>
      <c r="F11" s="9"/>
      <c r="G11" s="9"/>
      <c r="H11" s="9"/>
      <c r="I11" s="9"/>
      <c r="J11" s="9"/>
      <c r="K11" s="9"/>
      <c r="L11" s="10"/>
      <c r="M11" s="9"/>
      <c r="N11" s="9"/>
      <c r="O11" s="10"/>
      <c r="P11" s="9"/>
      <c r="Q11" s="10"/>
      <c r="R11" s="10"/>
      <c r="S11" s="11" t="str">
        <f t="shared" si="0"/>
        <v/>
      </c>
      <c r="T11" s="9"/>
      <c r="U11" s="9"/>
      <c r="V11" s="9"/>
      <c r="W11" s="9"/>
      <c r="X11" s="9"/>
      <c r="Y11" s="9"/>
      <c r="Z11" s="9"/>
      <c r="AA11" s="12">
        <f t="shared" si="1"/>
        <v>0.2</v>
      </c>
    </row>
    <row r="12" spans="1:27" ht="36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10"/>
      <c r="M12" s="9"/>
      <c r="N12" s="9"/>
      <c r="O12" s="10"/>
      <c r="P12" s="9"/>
      <c r="Q12" s="10"/>
      <c r="R12" s="10"/>
      <c r="S12" s="11" t="str">
        <f t="shared" si="0"/>
        <v/>
      </c>
      <c r="T12" s="9"/>
      <c r="U12" s="9"/>
      <c r="V12" s="9"/>
      <c r="W12" s="9"/>
      <c r="X12" s="9"/>
      <c r="Y12" s="9"/>
      <c r="Z12" s="9"/>
      <c r="AA12" s="12" t="str">
        <f t="shared" si="1"/>
        <v/>
      </c>
    </row>
    <row r="13" spans="1:27" ht="36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10"/>
      <c r="M13" s="9"/>
      <c r="N13" s="9"/>
      <c r="O13" s="10"/>
      <c r="P13" s="9"/>
      <c r="Q13" s="10"/>
      <c r="R13" s="10"/>
      <c r="S13" s="11" t="str">
        <f t="shared" si="0"/>
        <v/>
      </c>
      <c r="T13" s="9"/>
      <c r="U13" s="9"/>
      <c r="V13" s="9"/>
      <c r="W13" s="9"/>
      <c r="X13" s="9"/>
      <c r="Y13" s="9"/>
      <c r="Z13" s="9"/>
      <c r="AA13" s="12" t="str">
        <f t="shared" si="1"/>
        <v/>
      </c>
    </row>
    <row r="14" spans="1:27" ht="36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  <c r="M14" s="9"/>
      <c r="N14" s="9"/>
      <c r="O14" s="10"/>
      <c r="P14" s="9"/>
      <c r="Q14" s="10"/>
      <c r="R14" s="10"/>
      <c r="S14" s="11" t="str">
        <f t="shared" si="0"/>
        <v/>
      </c>
      <c r="T14" s="9"/>
      <c r="U14" s="9"/>
      <c r="V14" s="9"/>
      <c r="W14" s="9"/>
      <c r="X14" s="9"/>
      <c r="Y14" s="9"/>
      <c r="Z14" s="9"/>
      <c r="AA14" s="12" t="str">
        <f t="shared" si="1"/>
        <v/>
      </c>
    </row>
    <row r="15" spans="1:27" ht="36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10"/>
      <c r="M15" s="9"/>
      <c r="N15" s="9"/>
      <c r="O15" s="10"/>
      <c r="P15" s="9"/>
      <c r="Q15" s="10"/>
      <c r="R15" s="10"/>
      <c r="S15" s="11" t="str">
        <f t="shared" si="0"/>
        <v/>
      </c>
      <c r="T15" s="9"/>
      <c r="U15" s="9"/>
      <c r="V15" s="9"/>
      <c r="W15" s="9"/>
      <c r="X15" s="9"/>
      <c r="Y15" s="9"/>
      <c r="Z15" s="9"/>
      <c r="AA15" s="12" t="str">
        <f t="shared" si="1"/>
        <v/>
      </c>
    </row>
    <row r="17" spans="1:1" ht="15" customHeight="1" x14ac:dyDescent="0.25">
      <c r="A17" s="4" t="s">
        <v>97</v>
      </c>
    </row>
    <row r="18" spans="1:1" ht="15" customHeight="1" x14ac:dyDescent="0.25">
      <c r="A18" s="4" t="s">
        <v>98</v>
      </c>
    </row>
    <row r="19" spans="1:1" ht="15" customHeight="1" x14ac:dyDescent="0.25">
      <c r="A19" s="4" t="s">
        <v>99</v>
      </c>
    </row>
  </sheetData>
  <mergeCells count="4">
    <mergeCell ref="W5:AA5"/>
    <mergeCell ref="L5:V5"/>
    <mergeCell ref="A5:K5"/>
    <mergeCell ref="A3:AA3"/>
  </mergeCells>
  <conditionalFormatting sqref="S7:S15">
    <cfRule type="expression" dxfId="3" priority="2">
      <formula>S7="Verde"</formula>
    </cfRule>
    <cfRule type="expression" dxfId="2" priority="3">
      <formula>S7="Amarillo"</formula>
    </cfRule>
    <cfRule type="expression" dxfId="1" priority="4">
      <formula>S7="Rojo"</formula>
    </cfRule>
    <cfRule type="expression" dxfId="0" priority="5">
      <formula>S7="Revise umbrales"</formula>
    </cfRule>
  </conditionalFormatting>
  <dataValidations count="4">
    <dataValidation type="list" allowBlank="1" sqref="C7:C15" xr:uid="{00000000-0002-0000-0100-000000000000}">
      <formula1>"Estratégico,Táctico,Operativo"</formula1>
      <formula2>0</formula2>
    </dataValidation>
    <dataValidation type="list" allowBlank="1" sqref="N7:N15" xr:uid="{00000000-0002-0000-0100-000001000000}">
      <formula1>"Más es mejor,Menos es mejor"</formula1>
      <formula2>0</formula2>
    </dataValidation>
    <dataValidation type="list" allowBlank="1" sqref="W7:W15" xr:uid="{00000000-0002-0000-0100-000002000000}">
      <formula1>"Financiera,Clientes,Procesos internos,Aprendizaje y crecimiento"</formula1>
      <formula2>0</formula2>
    </dataValidation>
    <dataValidation type="list" allowBlank="1" sqref="X7:X15" xr:uid="{00000000-0002-0000-0100-000003000000}">
      <formula1>"Resultado,Impulsor"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30" customWidth="1"/>
    <col min="3" max="3" width="44" customWidth="1"/>
    <col min="4" max="4" width="9" customWidth="1"/>
    <col min="5" max="5" width="44" customWidth="1"/>
    <col min="6" max="6" width="40" customWidth="1"/>
  </cols>
  <sheetData>
    <row r="1" spans="1:6" ht="15" customHeight="1" x14ac:dyDescent="0.25">
      <c r="A1" s="5" t="s">
        <v>100</v>
      </c>
    </row>
    <row r="2" spans="1:6" ht="17.25" customHeight="1" x14ac:dyDescent="0.25">
      <c r="A2" s="6" t="s">
        <v>101</v>
      </c>
    </row>
    <row r="3" spans="1:6" ht="45" customHeight="1" x14ac:dyDescent="0.25">
      <c r="A3" s="19" t="s">
        <v>102</v>
      </c>
      <c r="B3" s="20"/>
      <c r="C3" s="20"/>
      <c r="D3" s="20"/>
      <c r="E3" s="20"/>
      <c r="F3" s="20"/>
    </row>
    <row r="6" spans="1:6" ht="31.5" customHeight="1" x14ac:dyDescent="0.25">
      <c r="A6" s="8" t="s">
        <v>103</v>
      </c>
      <c r="B6" s="8" t="s">
        <v>104</v>
      </c>
      <c r="C6" s="8" t="s">
        <v>105</v>
      </c>
      <c r="D6" s="8" t="s">
        <v>106</v>
      </c>
      <c r="E6" s="8" t="s">
        <v>107</v>
      </c>
      <c r="F6" s="8" t="s">
        <v>108</v>
      </c>
    </row>
    <row r="7" spans="1:6" ht="15" customHeight="1" x14ac:dyDescent="0.25">
      <c r="A7" s="26" t="s">
        <v>109</v>
      </c>
      <c r="B7" s="22"/>
      <c r="C7" s="22"/>
      <c r="D7" s="22"/>
      <c r="E7" s="22"/>
      <c r="F7" s="23"/>
    </row>
    <row r="8" spans="1:6" ht="31.5" customHeight="1" x14ac:dyDescent="0.25">
      <c r="A8" s="13" t="s">
        <v>110</v>
      </c>
      <c r="B8" s="14" t="s">
        <v>111</v>
      </c>
      <c r="C8" s="14" t="s">
        <v>112</v>
      </c>
      <c r="D8" s="13" t="s">
        <v>113</v>
      </c>
      <c r="E8" s="14" t="s">
        <v>114</v>
      </c>
      <c r="F8" s="14" t="s">
        <v>115</v>
      </c>
    </row>
    <row r="9" spans="1:6" ht="31.5" customHeight="1" x14ac:dyDescent="0.25">
      <c r="A9" s="13" t="s">
        <v>110</v>
      </c>
      <c r="B9" s="14" t="s">
        <v>116</v>
      </c>
      <c r="C9" s="14" t="s">
        <v>117</v>
      </c>
      <c r="D9" s="13" t="s">
        <v>118</v>
      </c>
      <c r="E9" s="14" t="s">
        <v>81</v>
      </c>
      <c r="F9" s="14" t="s">
        <v>119</v>
      </c>
    </row>
    <row r="10" spans="1:6" ht="31.5" customHeight="1" x14ac:dyDescent="0.25">
      <c r="A10" s="13" t="s">
        <v>120</v>
      </c>
      <c r="B10" s="14" t="s">
        <v>121</v>
      </c>
      <c r="C10" s="14" t="s">
        <v>122</v>
      </c>
      <c r="D10" s="13" t="s">
        <v>118</v>
      </c>
      <c r="E10" s="14" t="s">
        <v>123</v>
      </c>
      <c r="F10" s="14" t="s">
        <v>124</v>
      </c>
    </row>
    <row r="11" spans="1:6" ht="31.5" customHeight="1" x14ac:dyDescent="0.25">
      <c r="A11" s="13" t="s">
        <v>125</v>
      </c>
      <c r="B11" s="14" t="s">
        <v>126</v>
      </c>
      <c r="C11" s="14" t="s">
        <v>127</v>
      </c>
      <c r="D11" s="13" t="s">
        <v>128</v>
      </c>
      <c r="E11" s="14" t="s">
        <v>129</v>
      </c>
      <c r="F11" s="14" t="s">
        <v>130</v>
      </c>
    </row>
    <row r="12" spans="1:6" ht="31.5" customHeight="1" x14ac:dyDescent="0.25">
      <c r="A12" s="13" t="s">
        <v>125</v>
      </c>
      <c r="B12" s="14" t="s">
        <v>131</v>
      </c>
      <c r="C12" s="14" t="s">
        <v>132</v>
      </c>
      <c r="D12" s="13" t="s">
        <v>133</v>
      </c>
      <c r="E12" s="14" t="s">
        <v>134</v>
      </c>
      <c r="F12" s="14" t="s">
        <v>135</v>
      </c>
    </row>
    <row r="13" spans="1:6" ht="31.5" customHeight="1" x14ac:dyDescent="0.25">
      <c r="A13" s="13" t="s">
        <v>136</v>
      </c>
      <c r="B13" s="14" t="s">
        <v>137</v>
      </c>
      <c r="C13" s="14" t="s">
        <v>138</v>
      </c>
      <c r="D13" s="13" t="s">
        <v>139</v>
      </c>
      <c r="E13" s="14" t="s">
        <v>140</v>
      </c>
      <c r="F13" s="14" t="s">
        <v>141</v>
      </c>
    </row>
    <row r="14" spans="1:6" ht="31.5" customHeight="1" x14ac:dyDescent="0.25">
      <c r="A14" s="13" t="s">
        <v>136</v>
      </c>
      <c r="B14" s="14" t="s">
        <v>142</v>
      </c>
      <c r="C14" s="14" t="s">
        <v>143</v>
      </c>
      <c r="D14" s="13" t="s">
        <v>144</v>
      </c>
      <c r="E14" s="14" t="s">
        <v>145</v>
      </c>
      <c r="F14" s="14" t="s">
        <v>146</v>
      </c>
    </row>
    <row r="15" spans="1:6" ht="15" customHeight="1" x14ac:dyDescent="0.25">
      <c r="A15" s="26" t="s">
        <v>147</v>
      </c>
      <c r="B15" s="22"/>
      <c r="C15" s="22"/>
      <c r="D15" s="22"/>
      <c r="E15" s="22"/>
      <c r="F15" s="23"/>
    </row>
    <row r="16" spans="1:6" ht="31.5" customHeight="1" x14ac:dyDescent="0.25">
      <c r="A16" s="13" t="s">
        <v>148</v>
      </c>
      <c r="B16" s="14" t="s">
        <v>149</v>
      </c>
      <c r="C16" s="14" t="s">
        <v>150</v>
      </c>
      <c r="D16" s="13" t="s">
        <v>144</v>
      </c>
      <c r="E16" s="14" t="s">
        <v>151</v>
      </c>
      <c r="F16" s="14" t="s">
        <v>152</v>
      </c>
    </row>
    <row r="17" spans="1:6" ht="31.5" customHeight="1" x14ac:dyDescent="0.25">
      <c r="A17" s="13" t="s">
        <v>153</v>
      </c>
      <c r="B17" s="14" t="s">
        <v>154</v>
      </c>
      <c r="C17" s="14" t="s">
        <v>155</v>
      </c>
      <c r="D17" s="13" t="s">
        <v>156</v>
      </c>
      <c r="E17" s="14" t="s">
        <v>157</v>
      </c>
      <c r="F17" s="14" t="s">
        <v>158</v>
      </c>
    </row>
    <row r="18" spans="1:6" ht="31.5" customHeight="1" x14ac:dyDescent="0.25">
      <c r="A18" s="13" t="s">
        <v>153</v>
      </c>
      <c r="B18" s="14" t="s">
        <v>159</v>
      </c>
      <c r="C18" s="14" t="s">
        <v>160</v>
      </c>
      <c r="D18" s="13" t="s">
        <v>156</v>
      </c>
      <c r="E18" s="14" t="s">
        <v>161</v>
      </c>
      <c r="F18" s="14" t="s">
        <v>162</v>
      </c>
    </row>
    <row r="19" spans="1:6" ht="31.5" customHeight="1" x14ac:dyDescent="0.25">
      <c r="A19" s="13" t="s">
        <v>163</v>
      </c>
      <c r="B19" s="14" t="s">
        <v>164</v>
      </c>
      <c r="C19" s="14" t="s">
        <v>165</v>
      </c>
      <c r="D19" s="13" t="s">
        <v>166</v>
      </c>
      <c r="E19" s="14" t="s">
        <v>167</v>
      </c>
      <c r="F19" s="14" t="s">
        <v>168</v>
      </c>
    </row>
    <row r="20" spans="1:6" ht="31.5" customHeight="1" x14ac:dyDescent="0.25">
      <c r="A20" s="13" t="s">
        <v>163</v>
      </c>
      <c r="B20" s="14" t="s">
        <v>169</v>
      </c>
      <c r="C20" s="14" t="s">
        <v>170</v>
      </c>
      <c r="D20" s="13" t="s">
        <v>166</v>
      </c>
      <c r="E20" s="14" t="s">
        <v>171</v>
      </c>
      <c r="F20" s="14" t="s">
        <v>172</v>
      </c>
    </row>
    <row r="21" spans="1:6" ht="15" customHeight="1" x14ac:dyDescent="0.25">
      <c r="A21" s="25" t="s">
        <v>173</v>
      </c>
      <c r="B21" s="22"/>
      <c r="C21" s="22"/>
      <c r="D21" s="22"/>
      <c r="E21" s="22"/>
      <c r="F21" s="23"/>
    </row>
    <row r="22" spans="1:6" ht="31.5" customHeight="1" x14ac:dyDescent="0.25">
      <c r="A22" s="13" t="s">
        <v>174</v>
      </c>
      <c r="B22" s="14" t="s">
        <v>175</v>
      </c>
      <c r="C22" s="14" t="s">
        <v>176</v>
      </c>
      <c r="D22" s="13" t="s">
        <v>177</v>
      </c>
      <c r="E22" s="14" t="s">
        <v>178</v>
      </c>
      <c r="F22" s="14" t="s">
        <v>179</v>
      </c>
    </row>
    <row r="23" spans="1:6" ht="31.5" customHeight="1" x14ac:dyDescent="0.25">
      <c r="A23" s="13" t="s">
        <v>174</v>
      </c>
      <c r="B23" s="14" t="s">
        <v>180</v>
      </c>
      <c r="C23" s="14" t="s">
        <v>181</v>
      </c>
      <c r="D23" s="13" t="s">
        <v>166</v>
      </c>
      <c r="E23" s="14" t="s">
        <v>182</v>
      </c>
      <c r="F23" s="14" t="s">
        <v>183</v>
      </c>
    </row>
    <row r="24" spans="1:6" ht="31.5" customHeight="1" x14ac:dyDescent="0.25">
      <c r="A24" s="13" t="s">
        <v>184</v>
      </c>
      <c r="B24" s="14" t="s">
        <v>185</v>
      </c>
      <c r="C24" s="14" t="s">
        <v>186</v>
      </c>
      <c r="D24" s="13" t="s">
        <v>187</v>
      </c>
      <c r="E24" s="14" t="s">
        <v>188</v>
      </c>
      <c r="F24" s="14" t="s">
        <v>189</v>
      </c>
    </row>
  </sheetData>
  <mergeCells count="4">
    <mergeCell ref="A3:F3"/>
    <mergeCell ref="A21:F21"/>
    <mergeCell ref="A15:F15"/>
    <mergeCell ref="A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2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30" customWidth="1"/>
    <col min="3" max="3" width="24" customWidth="1"/>
    <col min="4" max="4" width="9" customWidth="1"/>
    <col min="5" max="5" width="10" customWidth="1"/>
    <col min="6" max="6" width="36" customWidth="1"/>
    <col min="7" max="7" width="20" customWidth="1"/>
  </cols>
  <sheetData>
    <row r="1" spans="1:7" ht="15" customHeight="1" x14ac:dyDescent="0.25">
      <c r="A1" s="5" t="s">
        <v>190</v>
      </c>
    </row>
    <row r="2" spans="1:7" ht="17.25" customHeight="1" x14ac:dyDescent="0.25">
      <c r="A2" s="6" t="s">
        <v>14</v>
      </c>
    </row>
    <row r="3" spans="1:7" ht="30" customHeight="1" x14ac:dyDescent="0.25">
      <c r="A3" s="19" t="s">
        <v>191</v>
      </c>
      <c r="B3" s="20"/>
      <c r="C3" s="20"/>
      <c r="D3" s="20"/>
      <c r="E3" s="20"/>
      <c r="F3" s="20"/>
      <c r="G3" s="20"/>
    </row>
    <row r="4" spans="1:7" ht="15" customHeight="1" x14ac:dyDescent="0.25">
      <c r="A4" s="7" t="s">
        <v>43</v>
      </c>
      <c r="B4" t="s">
        <v>44</v>
      </c>
      <c r="C4" s="7" t="s">
        <v>45</v>
      </c>
      <c r="D4" t="s">
        <v>46</v>
      </c>
      <c r="E4" s="7" t="s">
        <v>47</v>
      </c>
      <c r="F4" t="s">
        <v>48</v>
      </c>
    </row>
    <row r="6" spans="1:7" ht="31.5" customHeight="1" x14ac:dyDescent="0.25">
      <c r="A6" s="8" t="s">
        <v>192</v>
      </c>
      <c r="B6" s="8" t="s">
        <v>193</v>
      </c>
      <c r="C6" s="8" t="s">
        <v>194</v>
      </c>
      <c r="D6" s="8" t="s">
        <v>195</v>
      </c>
      <c r="E6" s="8" t="s">
        <v>196</v>
      </c>
      <c r="F6" s="8" t="s">
        <v>197</v>
      </c>
      <c r="G6" s="8" t="s">
        <v>198</v>
      </c>
    </row>
    <row r="7" spans="1:7" ht="75" customHeight="1" x14ac:dyDescent="0.25">
      <c r="A7" s="9" t="s">
        <v>199</v>
      </c>
      <c r="B7" s="9" t="s">
        <v>200</v>
      </c>
      <c r="C7" s="9" t="s">
        <v>201</v>
      </c>
      <c r="D7" s="17">
        <v>191710</v>
      </c>
      <c r="E7" s="17">
        <v>15</v>
      </c>
      <c r="F7" s="9" t="s">
        <v>202</v>
      </c>
      <c r="G7" s="9" t="s">
        <v>44</v>
      </c>
    </row>
    <row r="8" spans="1:7" ht="75" customHeight="1" x14ac:dyDescent="0.25">
      <c r="A8" s="9" t="s">
        <v>203</v>
      </c>
      <c r="B8" s="9" t="s">
        <v>204</v>
      </c>
      <c r="C8" s="9" t="s">
        <v>205</v>
      </c>
      <c r="D8" s="17">
        <v>120</v>
      </c>
      <c r="E8" s="17">
        <v>7</v>
      </c>
      <c r="F8" s="9" t="s">
        <v>206</v>
      </c>
      <c r="G8" s="9" t="s">
        <v>44</v>
      </c>
    </row>
    <row r="9" spans="1:7" ht="75" customHeight="1" x14ac:dyDescent="0.25">
      <c r="A9" s="9" t="s">
        <v>207</v>
      </c>
      <c r="B9" s="9" t="s">
        <v>208</v>
      </c>
      <c r="C9" s="9" t="s">
        <v>209</v>
      </c>
      <c r="D9" s="17">
        <v>100</v>
      </c>
      <c r="E9" s="17">
        <v>6</v>
      </c>
      <c r="F9" s="9" t="s">
        <v>210</v>
      </c>
      <c r="G9" s="9" t="s">
        <v>44</v>
      </c>
    </row>
    <row r="10" spans="1:7" ht="75" customHeight="1" x14ac:dyDescent="0.25">
      <c r="A10" s="9" t="s">
        <v>211</v>
      </c>
      <c r="B10" s="9" t="s">
        <v>212</v>
      </c>
      <c r="C10" s="9" t="s">
        <v>213</v>
      </c>
      <c r="D10" s="17">
        <v>7782</v>
      </c>
      <c r="E10" s="17">
        <v>12</v>
      </c>
      <c r="F10" s="9" t="s">
        <v>214</v>
      </c>
      <c r="G10" s="9" t="s">
        <v>44</v>
      </c>
    </row>
    <row r="11" spans="1:7" ht="75" customHeight="1" x14ac:dyDescent="0.25">
      <c r="A11" s="9" t="s">
        <v>215</v>
      </c>
      <c r="B11" s="9" t="s">
        <v>216</v>
      </c>
      <c r="C11" s="9" t="s">
        <v>217</v>
      </c>
      <c r="D11" s="17">
        <v>144</v>
      </c>
      <c r="E11" s="17">
        <v>5</v>
      </c>
      <c r="F11" s="9" t="s">
        <v>218</v>
      </c>
      <c r="G11" s="9" t="s">
        <v>44</v>
      </c>
    </row>
    <row r="12" spans="1:7" ht="15" customHeight="1" x14ac:dyDescent="0.25">
      <c r="A12" s="9"/>
      <c r="B12" s="9"/>
      <c r="C12" s="9"/>
      <c r="D12" s="17"/>
      <c r="E12" s="17"/>
      <c r="F12" s="9"/>
      <c r="G12" s="9"/>
    </row>
    <row r="13" spans="1:7" ht="15" customHeight="1" x14ac:dyDescent="0.25">
      <c r="A13" s="9"/>
      <c r="B13" s="9"/>
      <c r="C13" s="9"/>
      <c r="D13" s="17"/>
      <c r="E13" s="17"/>
      <c r="F13" s="9"/>
      <c r="G13" s="9"/>
    </row>
    <row r="14" spans="1:7" ht="15" customHeight="1" x14ac:dyDescent="0.25">
      <c r="A14" s="9"/>
      <c r="B14" s="9"/>
      <c r="C14" s="9"/>
      <c r="D14" s="17"/>
      <c r="E14" s="17"/>
      <c r="F14" s="9"/>
      <c r="G14" s="9"/>
    </row>
    <row r="15" spans="1:7" ht="15" customHeight="1" x14ac:dyDescent="0.25">
      <c r="A15" s="9"/>
      <c r="B15" s="9"/>
      <c r="C15" s="9"/>
      <c r="D15" s="17"/>
      <c r="E15" s="17"/>
      <c r="F15" s="9"/>
      <c r="G15" s="9"/>
    </row>
    <row r="16" spans="1:7" ht="15" customHeight="1" x14ac:dyDescent="0.25">
      <c r="A16" s="9"/>
      <c r="B16" s="9"/>
      <c r="C16" s="9"/>
      <c r="D16" s="17"/>
      <c r="E16" s="17"/>
      <c r="F16" s="9"/>
      <c r="G16" s="9"/>
    </row>
    <row r="17" spans="1:7" ht="15" customHeight="1" x14ac:dyDescent="0.25">
      <c r="A17" s="9"/>
      <c r="B17" s="9"/>
      <c r="C17" s="9"/>
      <c r="D17" s="17"/>
      <c r="E17" s="17"/>
      <c r="F17" s="9"/>
      <c r="G17" s="9"/>
    </row>
    <row r="18" spans="1:7" ht="15" customHeight="1" x14ac:dyDescent="0.25">
      <c r="A18" s="9"/>
      <c r="B18" s="9"/>
      <c r="C18" s="9"/>
      <c r="D18" s="17"/>
      <c r="E18" s="17"/>
      <c r="F18" s="9"/>
      <c r="G18" s="9"/>
    </row>
    <row r="19" spans="1:7" ht="15" customHeight="1" x14ac:dyDescent="0.25">
      <c r="A19" s="9"/>
      <c r="B19" s="9"/>
      <c r="C19" s="9"/>
      <c r="D19" s="17"/>
      <c r="E19" s="17"/>
      <c r="F19" s="9"/>
      <c r="G19" s="9"/>
    </row>
    <row r="20" spans="1:7" ht="15" customHeight="1" x14ac:dyDescent="0.25">
      <c r="A20" s="9"/>
      <c r="B20" s="9"/>
      <c r="C20" s="9"/>
      <c r="D20" s="17"/>
      <c r="E20" s="17"/>
      <c r="F20" s="9"/>
      <c r="G20" s="9"/>
    </row>
    <row r="21" spans="1:7" ht="15" customHeight="1" x14ac:dyDescent="0.25">
      <c r="A21" s="9"/>
      <c r="B21" s="9"/>
      <c r="C21" s="9"/>
      <c r="D21" s="17"/>
      <c r="E21" s="17"/>
      <c r="F21" s="9"/>
      <c r="G21" s="9"/>
    </row>
    <row r="22" spans="1:7" ht="15" customHeight="1" x14ac:dyDescent="0.25">
      <c r="A22" s="9"/>
      <c r="B22" s="9"/>
      <c r="C22" s="9"/>
      <c r="D22" s="17"/>
      <c r="E22" s="17"/>
      <c r="F22" s="9"/>
      <c r="G22" s="9"/>
    </row>
  </sheetData>
  <mergeCells count="1">
    <mergeCell ref="A3:G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22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26" customWidth="1"/>
    <col min="3" max="3" width="20" customWidth="1"/>
    <col min="4" max="4" width="13" customWidth="1"/>
    <col min="5" max="5" width="16" customWidth="1"/>
    <col min="6" max="7" width="30" customWidth="1"/>
  </cols>
  <sheetData>
    <row r="1" spans="1:7" ht="15" customHeight="1" x14ac:dyDescent="0.25">
      <c r="A1" s="5" t="s">
        <v>219</v>
      </c>
    </row>
    <row r="2" spans="1:7" ht="17.25" customHeight="1" x14ac:dyDescent="0.25">
      <c r="A2" s="6" t="s">
        <v>17</v>
      </c>
    </row>
    <row r="3" spans="1:7" ht="30" customHeight="1" x14ac:dyDescent="0.25">
      <c r="A3" s="19" t="s">
        <v>220</v>
      </c>
      <c r="B3" s="20"/>
      <c r="C3" s="20"/>
      <c r="D3" s="20"/>
      <c r="E3" s="20"/>
      <c r="F3" s="20"/>
      <c r="G3" s="20"/>
    </row>
    <row r="4" spans="1:7" ht="15" customHeight="1" x14ac:dyDescent="0.25">
      <c r="A4" s="7" t="s">
        <v>43</v>
      </c>
      <c r="B4" t="s">
        <v>44</v>
      </c>
      <c r="C4" s="7" t="s">
        <v>45</v>
      </c>
      <c r="D4" t="s">
        <v>46</v>
      </c>
      <c r="E4" s="7" t="s">
        <v>47</v>
      </c>
      <c r="F4" t="s">
        <v>221</v>
      </c>
    </row>
    <row r="6" spans="1:7" ht="31.5" customHeight="1" x14ac:dyDescent="0.25">
      <c r="A6" s="8" t="s">
        <v>222</v>
      </c>
      <c r="B6" s="8" t="s">
        <v>223</v>
      </c>
      <c r="C6" s="8" t="s">
        <v>224</v>
      </c>
      <c r="D6" s="8" t="s">
        <v>225</v>
      </c>
      <c r="E6" s="8" t="s">
        <v>226</v>
      </c>
      <c r="F6" s="8" t="s">
        <v>227</v>
      </c>
      <c r="G6" s="8" t="s">
        <v>228</v>
      </c>
    </row>
    <row r="7" spans="1:7" ht="45" customHeight="1" x14ac:dyDescent="0.25">
      <c r="A7" s="9" t="s">
        <v>199</v>
      </c>
      <c r="B7" s="9" t="s">
        <v>229</v>
      </c>
      <c r="C7" s="9" t="s">
        <v>230</v>
      </c>
      <c r="D7" s="9" t="s">
        <v>231</v>
      </c>
      <c r="E7" s="9" t="s">
        <v>232</v>
      </c>
      <c r="F7" s="9" t="s">
        <v>233</v>
      </c>
      <c r="G7" s="9" t="s">
        <v>234</v>
      </c>
    </row>
    <row r="8" spans="1:7" ht="45" customHeight="1" x14ac:dyDescent="0.25">
      <c r="A8" s="9" t="s">
        <v>203</v>
      </c>
      <c r="B8" s="9" t="s">
        <v>235</v>
      </c>
      <c r="C8" s="9" t="s">
        <v>236</v>
      </c>
      <c r="D8" s="9" t="s">
        <v>237</v>
      </c>
      <c r="E8" s="9" t="s">
        <v>232</v>
      </c>
      <c r="F8" s="9" t="s">
        <v>238</v>
      </c>
      <c r="G8" s="9" t="s">
        <v>239</v>
      </c>
    </row>
    <row r="9" spans="1:7" ht="45" customHeight="1" x14ac:dyDescent="0.25">
      <c r="A9" s="9" t="s">
        <v>207</v>
      </c>
      <c r="B9" s="9" t="s">
        <v>240</v>
      </c>
      <c r="C9" s="9" t="s">
        <v>241</v>
      </c>
      <c r="D9" s="9" t="s">
        <v>237</v>
      </c>
      <c r="E9" s="9" t="s">
        <v>232</v>
      </c>
      <c r="F9" s="9" t="s">
        <v>242</v>
      </c>
      <c r="G9" s="9" t="s">
        <v>243</v>
      </c>
    </row>
    <row r="10" spans="1:7" ht="150" customHeight="1" x14ac:dyDescent="0.25">
      <c r="A10" s="9" t="s">
        <v>211</v>
      </c>
      <c r="B10" s="9" t="s">
        <v>244</v>
      </c>
      <c r="C10" s="9" t="s">
        <v>245</v>
      </c>
      <c r="D10" s="9" t="s">
        <v>246</v>
      </c>
      <c r="E10" s="9" t="s">
        <v>232</v>
      </c>
      <c r="F10" s="9" t="s">
        <v>247</v>
      </c>
      <c r="G10" s="9" t="s">
        <v>248</v>
      </c>
    </row>
    <row r="11" spans="1:7" ht="45" customHeight="1" x14ac:dyDescent="0.25">
      <c r="A11" s="9" t="s">
        <v>215</v>
      </c>
      <c r="B11" s="9" t="s">
        <v>249</v>
      </c>
      <c r="C11" s="9" t="s">
        <v>250</v>
      </c>
      <c r="D11" s="9" t="s">
        <v>251</v>
      </c>
      <c r="E11" s="9" t="s">
        <v>232</v>
      </c>
      <c r="F11" s="9" t="s">
        <v>252</v>
      </c>
      <c r="G11" s="9" t="s">
        <v>253</v>
      </c>
    </row>
    <row r="12" spans="1:7" ht="15" customHeight="1" x14ac:dyDescent="0.25">
      <c r="A12" s="9"/>
      <c r="B12" s="9"/>
      <c r="C12" s="9"/>
      <c r="D12" s="9"/>
      <c r="E12" s="9"/>
      <c r="F12" s="9"/>
      <c r="G12" s="9"/>
    </row>
    <row r="13" spans="1:7" ht="15" customHeight="1" x14ac:dyDescent="0.25">
      <c r="A13" s="9"/>
      <c r="B13" s="9"/>
      <c r="C13" s="9"/>
      <c r="D13" s="9"/>
      <c r="E13" s="9"/>
      <c r="F13" s="9"/>
      <c r="G13" s="9"/>
    </row>
    <row r="14" spans="1:7" ht="15" customHeight="1" x14ac:dyDescent="0.25">
      <c r="A14" s="9"/>
      <c r="B14" s="9"/>
      <c r="C14" s="9"/>
      <c r="D14" s="9"/>
      <c r="E14" s="9"/>
      <c r="F14" s="9"/>
      <c r="G14" s="9"/>
    </row>
    <row r="15" spans="1:7" ht="15" customHeight="1" x14ac:dyDescent="0.25">
      <c r="A15" s="9"/>
      <c r="B15" s="9"/>
      <c r="C15" s="9"/>
      <c r="D15" s="9"/>
      <c r="E15" s="9"/>
      <c r="F15" s="9"/>
      <c r="G15" s="9"/>
    </row>
    <row r="16" spans="1:7" ht="15" customHeight="1" x14ac:dyDescent="0.25">
      <c r="A16" s="9"/>
      <c r="B16" s="9"/>
      <c r="C16" s="9"/>
      <c r="D16" s="9"/>
      <c r="E16" s="9"/>
      <c r="F16" s="9"/>
      <c r="G16" s="9"/>
    </row>
    <row r="17" spans="1:7" ht="15" customHeight="1" x14ac:dyDescent="0.25">
      <c r="A17" s="9"/>
      <c r="B17" s="9"/>
      <c r="C17" s="9"/>
      <c r="D17" s="9"/>
      <c r="E17" s="9"/>
      <c r="F17" s="9"/>
      <c r="G17" s="9"/>
    </row>
    <row r="18" spans="1:7" ht="15" customHeight="1" x14ac:dyDescent="0.25">
      <c r="A18" s="9"/>
      <c r="B18" s="9"/>
      <c r="C18" s="9"/>
      <c r="D18" s="9"/>
      <c r="E18" s="9"/>
      <c r="F18" s="9"/>
      <c r="G18" s="9"/>
    </row>
    <row r="19" spans="1:7" ht="15" customHeight="1" x14ac:dyDescent="0.25">
      <c r="A19" s="9"/>
      <c r="B19" s="9"/>
      <c r="C19" s="9"/>
      <c r="D19" s="9"/>
      <c r="E19" s="9"/>
      <c r="F19" s="9"/>
      <c r="G19" s="9"/>
    </row>
    <row r="20" spans="1:7" ht="15" customHeight="1" x14ac:dyDescent="0.25">
      <c r="A20" s="9"/>
      <c r="B20" s="9"/>
      <c r="C20" s="9"/>
      <c r="D20" s="9"/>
      <c r="E20" s="9"/>
      <c r="F20" s="9"/>
      <c r="G20" s="9"/>
    </row>
    <row r="21" spans="1:7" ht="15" customHeight="1" x14ac:dyDescent="0.25">
      <c r="A21" s="9"/>
      <c r="B21" s="9"/>
      <c r="C21" s="9"/>
      <c r="D21" s="9"/>
      <c r="E21" s="9"/>
      <c r="F21" s="9"/>
      <c r="G21" s="9"/>
    </row>
    <row r="22" spans="1:7" ht="15" customHeight="1" x14ac:dyDescent="0.25">
      <c r="A22" s="9"/>
      <c r="B22" s="9"/>
      <c r="C22" s="9"/>
      <c r="D22" s="9"/>
      <c r="E22" s="9"/>
      <c r="F22" s="9"/>
      <c r="G22" s="9"/>
    </row>
  </sheetData>
  <mergeCells count="1">
    <mergeCell ref="A3:G3"/>
  </mergeCells>
  <printOptions horizontalCentered="1"/>
  <pageMargins left="0.25" right="0.25" top="0.25" bottom="0.25" header="0.125" footer="0.125"/>
  <pageSetup paperSize="9" scale="89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22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4" customWidth="1"/>
    <col min="3" max="4" width="16" customWidth="1"/>
    <col min="5" max="5" width="9" customWidth="1"/>
    <col min="6" max="6" width="34" customWidth="1"/>
    <col min="7" max="7" width="32" customWidth="1"/>
  </cols>
  <sheetData>
    <row r="1" spans="1:7" ht="15" customHeight="1" x14ac:dyDescent="0.25">
      <c r="A1" s="5" t="s">
        <v>254</v>
      </c>
    </row>
    <row r="2" spans="1:7" ht="17.25" customHeight="1" x14ac:dyDescent="0.25">
      <c r="A2" s="6" t="s">
        <v>20</v>
      </c>
    </row>
    <row r="3" spans="1:7" ht="30" customHeight="1" x14ac:dyDescent="0.25">
      <c r="A3" s="19" t="s">
        <v>255</v>
      </c>
      <c r="B3" s="20"/>
      <c r="C3" s="20"/>
      <c r="D3" s="20"/>
      <c r="E3" s="20"/>
      <c r="F3" s="20"/>
      <c r="G3" s="20"/>
    </row>
    <row r="4" spans="1:7" ht="15" customHeight="1" x14ac:dyDescent="0.25">
      <c r="A4" s="7" t="s">
        <v>43</v>
      </c>
      <c r="C4" s="7" t="s">
        <v>45</v>
      </c>
      <c r="E4" s="7" t="s">
        <v>47</v>
      </c>
    </row>
    <row r="6" spans="1:7" ht="31.5" customHeight="1" x14ac:dyDescent="0.25">
      <c r="A6" s="8" t="s">
        <v>256</v>
      </c>
      <c r="B6" s="8" t="s">
        <v>257</v>
      </c>
      <c r="C6" s="8" t="s">
        <v>258</v>
      </c>
      <c r="D6" s="8" t="s">
        <v>259</v>
      </c>
      <c r="E6" s="8" t="s">
        <v>195</v>
      </c>
      <c r="F6" s="8" t="s">
        <v>260</v>
      </c>
      <c r="G6" s="8" t="s">
        <v>261</v>
      </c>
    </row>
    <row r="7" spans="1:7" ht="15" customHeight="1" x14ac:dyDescent="0.25">
      <c r="A7" s="15" t="s">
        <v>262</v>
      </c>
      <c r="B7" s="15" t="s">
        <v>263</v>
      </c>
      <c r="C7" s="15" t="s">
        <v>264</v>
      </c>
      <c r="D7" s="15" t="s">
        <v>265</v>
      </c>
      <c r="E7" s="16">
        <v>4820</v>
      </c>
      <c r="F7" s="15" t="s">
        <v>266</v>
      </c>
      <c r="G7" s="15" t="s">
        <v>267</v>
      </c>
    </row>
    <row r="8" spans="1:7" ht="15" customHeight="1" x14ac:dyDescent="0.25">
      <c r="A8" s="9"/>
      <c r="B8" s="9"/>
      <c r="C8" s="9"/>
      <c r="D8" s="9"/>
      <c r="E8" s="17"/>
      <c r="F8" s="9"/>
      <c r="G8" s="9"/>
    </row>
    <row r="9" spans="1:7" ht="15" customHeight="1" x14ac:dyDescent="0.25">
      <c r="A9" s="9"/>
      <c r="B9" s="9"/>
      <c r="C9" s="9"/>
      <c r="D9" s="9"/>
      <c r="E9" s="17"/>
      <c r="F9" s="9"/>
      <c r="G9" s="9"/>
    </row>
    <row r="10" spans="1:7" ht="15" customHeight="1" x14ac:dyDescent="0.25">
      <c r="A10" s="9"/>
      <c r="B10" s="9"/>
      <c r="C10" s="9"/>
      <c r="D10" s="9"/>
      <c r="E10" s="17"/>
      <c r="F10" s="9"/>
      <c r="G10" s="9"/>
    </row>
    <row r="11" spans="1:7" ht="15" customHeight="1" x14ac:dyDescent="0.25">
      <c r="A11" s="9"/>
      <c r="B11" s="9"/>
      <c r="C11" s="9"/>
      <c r="D11" s="9"/>
      <c r="E11" s="17"/>
      <c r="F11" s="9"/>
      <c r="G11" s="9"/>
    </row>
    <row r="12" spans="1:7" ht="15" customHeight="1" x14ac:dyDescent="0.25">
      <c r="A12" s="9"/>
      <c r="B12" s="9"/>
      <c r="C12" s="9"/>
      <c r="D12" s="9"/>
      <c r="E12" s="17"/>
      <c r="F12" s="9"/>
      <c r="G12" s="9"/>
    </row>
    <row r="13" spans="1:7" ht="15" customHeight="1" x14ac:dyDescent="0.25">
      <c r="A13" s="9"/>
      <c r="B13" s="9"/>
      <c r="C13" s="9"/>
      <c r="D13" s="9"/>
      <c r="E13" s="17"/>
      <c r="F13" s="9"/>
      <c r="G13" s="9"/>
    </row>
    <row r="14" spans="1:7" ht="15" customHeight="1" x14ac:dyDescent="0.25">
      <c r="A14" s="9"/>
      <c r="B14" s="9"/>
      <c r="C14" s="9"/>
      <c r="D14" s="9"/>
      <c r="E14" s="17"/>
      <c r="F14" s="9"/>
      <c r="G14" s="9"/>
    </row>
    <row r="15" spans="1:7" ht="15" customHeight="1" x14ac:dyDescent="0.25">
      <c r="A15" s="9"/>
      <c r="B15" s="9"/>
      <c r="C15" s="9"/>
      <c r="D15" s="9"/>
      <c r="E15" s="17"/>
      <c r="F15" s="9"/>
      <c r="G15" s="9"/>
    </row>
    <row r="16" spans="1:7" ht="15" customHeight="1" x14ac:dyDescent="0.25">
      <c r="A16" s="9"/>
      <c r="B16" s="9"/>
      <c r="C16" s="9"/>
      <c r="D16" s="9"/>
      <c r="E16" s="17"/>
      <c r="F16" s="9"/>
      <c r="G16" s="9"/>
    </row>
    <row r="17" spans="1:7" ht="15" customHeight="1" x14ac:dyDescent="0.25">
      <c r="A17" s="9"/>
      <c r="B17" s="9"/>
      <c r="C17" s="9"/>
      <c r="D17" s="9"/>
      <c r="E17" s="17"/>
      <c r="F17" s="9"/>
      <c r="G17" s="9"/>
    </row>
    <row r="18" spans="1:7" ht="15" customHeight="1" x14ac:dyDescent="0.25">
      <c r="A18" s="9"/>
      <c r="B18" s="9"/>
      <c r="C18" s="9"/>
      <c r="D18" s="9"/>
      <c r="E18" s="17"/>
      <c r="F18" s="9"/>
      <c r="G18" s="9"/>
    </row>
    <row r="19" spans="1:7" ht="15" customHeight="1" x14ac:dyDescent="0.25">
      <c r="A19" s="9"/>
      <c r="B19" s="9"/>
      <c r="C19" s="9"/>
      <c r="D19" s="9"/>
      <c r="E19" s="17"/>
      <c r="F19" s="9"/>
      <c r="G19" s="9"/>
    </row>
    <row r="20" spans="1:7" ht="15" customHeight="1" x14ac:dyDescent="0.25">
      <c r="A20" s="9"/>
      <c r="B20" s="9"/>
      <c r="C20" s="9"/>
      <c r="D20" s="9"/>
      <c r="E20" s="17"/>
      <c r="F20" s="9"/>
      <c r="G20" s="9"/>
    </row>
    <row r="21" spans="1:7" ht="15" customHeight="1" x14ac:dyDescent="0.25">
      <c r="A21" s="9"/>
      <c r="B21" s="9"/>
      <c r="C21" s="9"/>
      <c r="D21" s="9"/>
      <c r="E21" s="17"/>
      <c r="F21" s="9"/>
      <c r="G21" s="9"/>
    </row>
    <row r="22" spans="1:7" ht="15" customHeight="1" x14ac:dyDescent="0.25">
      <c r="A22" s="9"/>
      <c r="B22" s="9"/>
      <c r="C22" s="9"/>
      <c r="D22" s="9"/>
      <c r="E22" s="17"/>
      <c r="F22" s="9"/>
      <c r="G22" s="9"/>
    </row>
  </sheetData>
  <mergeCells count="1">
    <mergeCell ref="A3:G3"/>
  </mergeCells>
  <dataValidations count="1">
    <dataValidation type="list" allowBlank="1" sqref="D7:D22" xr:uid="{00000000-0002-0000-0500-000000000000}">
      <formula1>"Privado,Organizacional,Público"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22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0" customWidth="1"/>
    <col min="2" max="2" width="24" customWidth="1"/>
    <col min="3" max="3" width="11" customWidth="1"/>
    <col min="4" max="5" width="12" customWidth="1"/>
    <col min="6" max="6" width="13" customWidth="1"/>
    <col min="7" max="7" width="34" customWidth="1"/>
  </cols>
  <sheetData>
    <row r="1" spans="1:7" ht="15" customHeight="1" x14ac:dyDescent="0.25">
      <c r="A1" s="5" t="s">
        <v>268</v>
      </c>
    </row>
    <row r="2" spans="1:7" ht="17.25" customHeight="1" x14ac:dyDescent="0.25">
      <c r="A2" s="6" t="s">
        <v>23</v>
      </c>
    </row>
    <row r="3" spans="1:7" ht="30" customHeight="1" x14ac:dyDescent="0.25">
      <c r="A3" s="19" t="s">
        <v>269</v>
      </c>
      <c r="B3" s="20"/>
      <c r="C3" s="20"/>
      <c r="D3" s="20"/>
      <c r="E3" s="20"/>
      <c r="F3" s="20"/>
      <c r="G3" s="20"/>
    </row>
    <row r="4" spans="1:7" ht="15" customHeight="1" x14ac:dyDescent="0.25">
      <c r="A4" s="7" t="s">
        <v>43</v>
      </c>
      <c r="C4" s="7" t="s">
        <v>45</v>
      </c>
      <c r="E4" s="7" t="s">
        <v>47</v>
      </c>
    </row>
    <row r="6" spans="1:7" ht="31.5" customHeight="1" x14ac:dyDescent="0.25">
      <c r="A6" s="8" t="s">
        <v>270</v>
      </c>
      <c r="B6" s="8" t="s">
        <v>271</v>
      </c>
      <c r="C6" s="8" t="s">
        <v>272</v>
      </c>
      <c r="D6" s="8" t="s">
        <v>273</v>
      </c>
      <c r="E6" s="8" t="s">
        <v>274</v>
      </c>
      <c r="F6" s="8" t="s">
        <v>275</v>
      </c>
      <c r="G6" s="8" t="s">
        <v>276</v>
      </c>
    </row>
    <row r="7" spans="1:7" ht="15" customHeight="1" x14ac:dyDescent="0.25">
      <c r="A7" s="15" t="s">
        <v>277</v>
      </c>
      <c r="B7" s="15" t="s">
        <v>278</v>
      </c>
      <c r="C7" s="16">
        <v>7764</v>
      </c>
      <c r="D7" s="16">
        <v>24</v>
      </c>
      <c r="E7" s="16">
        <v>7740</v>
      </c>
      <c r="F7" s="15" t="s">
        <v>279</v>
      </c>
      <c r="G7" s="15" t="s">
        <v>280</v>
      </c>
    </row>
    <row r="8" spans="1:7" ht="15" customHeight="1" x14ac:dyDescent="0.25">
      <c r="A8" s="9"/>
      <c r="B8" s="9"/>
      <c r="C8" s="17"/>
      <c r="D8" s="17"/>
      <c r="E8" s="17"/>
      <c r="F8" s="9"/>
      <c r="G8" s="9"/>
    </row>
    <row r="9" spans="1:7" ht="15" customHeight="1" x14ac:dyDescent="0.25">
      <c r="A9" s="9"/>
      <c r="B9" s="9"/>
      <c r="C9" s="17"/>
      <c r="D9" s="17"/>
      <c r="E9" s="17"/>
      <c r="F9" s="9"/>
      <c r="G9" s="9"/>
    </row>
    <row r="10" spans="1:7" ht="15" customHeight="1" x14ac:dyDescent="0.25">
      <c r="A10" s="9"/>
      <c r="B10" s="9"/>
      <c r="C10" s="17"/>
      <c r="D10" s="17"/>
      <c r="E10" s="17"/>
      <c r="F10" s="9"/>
      <c r="G10" s="9"/>
    </row>
    <row r="11" spans="1:7" ht="15" customHeight="1" x14ac:dyDescent="0.25">
      <c r="A11" s="9"/>
      <c r="B11" s="9"/>
      <c r="C11" s="17"/>
      <c r="D11" s="17"/>
      <c r="E11" s="17"/>
      <c r="F11" s="9"/>
      <c r="G11" s="9"/>
    </row>
    <row r="12" spans="1:7" ht="15" customHeight="1" x14ac:dyDescent="0.25">
      <c r="A12" s="9"/>
      <c r="B12" s="9"/>
      <c r="C12" s="17"/>
      <c r="D12" s="17"/>
      <c r="E12" s="17"/>
      <c r="F12" s="9"/>
      <c r="G12" s="9"/>
    </row>
    <row r="13" spans="1:7" ht="15" customHeight="1" x14ac:dyDescent="0.25">
      <c r="A13" s="9"/>
      <c r="B13" s="9"/>
      <c r="C13" s="17"/>
      <c r="D13" s="17"/>
      <c r="E13" s="17"/>
      <c r="F13" s="9"/>
      <c r="G13" s="9"/>
    </row>
    <row r="14" spans="1:7" ht="15" customHeight="1" x14ac:dyDescent="0.25">
      <c r="A14" s="9"/>
      <c r="B14" s="9"/>
      <c r="C14" s="17"/>
      <c r="D14" s="17"/>
      <c r="E14" s="17"/>
      <c r="F14" s="9"/>
      <c r="G14" s="9"/>
    </row>
    <row r="15" spans="1:7" ht="15" customHeight="1" x14ac:dyDescent="0.25">
      <c r="A15" s="9"/>
      <c r="B15" s="9"/>
      <c r="C15" s="17"/>
      <c r="D15" s="17"/>
      <c r="E15" s="17"/>
      <c r="F15" s="9"/>
      <c r="G15" s="9"/>
    </row>
    <row r="16" spans="1:7" ht="15" customHeight="1" x14ac:dyDescent="0.25">
      <c r="A16" s="9"/>
      <c r="B16" s="9"/>
      <c r="C16" s="17"/>
      <c r="D16" s="17"/>
      <c r="E16" s="17"/>
      <c r="F16" s="9"/>
      <c r="G16" s="9"/>
    </row>
    <row r="17" spans="1:7" ht="15" customHeight="1" x14ac:dyDescent="0.25">
      <c r="A17" s="9"/>
      <c r="B17" s="9"/>
      <c r="C17" s="17"/>
      <c r="D17" s="17"/>
      <c r="E17" s="17"/>
      <c r="F17" s="9"/>
      <c r="G17" s="9"/>
    </row>
    <row r="18" spans="1:7" ht="15" customHeight="1" x14ac:dyDescent="0.25">
      <c r="A18" s="9"/>
      <c r="B18" s="9"/>
      <c r="C18" s="17"/>
      <c r="D18" s="17"/>
      <c r="E18" s="17"/>
      <c r="F18" s="9"/>
      <c r="G18" s="9"/>
    </row>
    <row r="19" spans="1:7" ht="15" customHeight="1" x14ac:dyDescent="0.25">
      <c r="A19" s="9"/>
      <c r="B19" s="9"/>
      <c r="C19" s="17"/>
      <c r="D19" s="17"/>
      <c r="E19" s="17"/>
      <c r="F19" s="9"/>
      <c r="G19" s="9"/>
    </row>
    <row r="20" spans="1:7" ht="15" customHeight="1" x14ac:dyDescent="0.25">
      <c r="A20" s="9"/>
      <c r="B20" s="9"/>
      <c r="C20" s="17"/>
      <c r="D20" s="17"/>
      <c r="E20" s="17"/>
      <c r="F20" s="9"/>
      <c r="G20" s="9"/>
    </row>
    <row r="21" spans="1:7" ht="15" customHeight="1" x14ac:dyDescent="0.25">
      <c r="A21" s="9"/>
      <c r="B21" s="9"/>
      <c r="C21" s="17"/>
      <c r="D21" s="17"/>
      <c r="E21" s="17"/>
      <c r="F21" s="9"/>
      <c r="G21" s="9"/>
    </row>
    <row r="22" spans="1:7" ht="15" customHeight="1" x14ac:dyDescent="0.25">
      <c r="A22" s="9"/>
      <c r="B22" s="9"/>
      <c r="C22" s="17"/>
      <c r="D22" s="17"/>
      <c r="E22" s="17"/>
      <c r="F22" s="9"/>
      <c r="G22" s="9"/>
    </row>
  </sheetData>
  <mergeCells count="1">
    <mergeCell ref="A3:G3"/>
  </mergeCells>
  <dataValidations count="1">
    <dataValidation type="list" allowBlank="1" sqref="F7:F22" xr:uid="{00000000-0002-0000-0600-000000000000}">
      <formula1>"Corregir,Marcar,Excluir,Enmascarar"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22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2" customWidth="1"/>
    <col min="3" max="3" width="30" customWidth="1"/>
    <col min="4" max="4" width="18" customWidth="1"/>
    <col min="5" max="5" width="20" customWidth="1"/>
    <col min="6" max="6" width="13" customWidth="1"/>
    <col min="7" max="7" width="12" customWidth="1"/>
    <col min="8" max="8" width="34" customWidth="1"/>
  </cols>
  <sheetData>
    <row r="1" spans="1:8" ht="15" customHeight="1" x14ac:dyDescent="0.25">
      <c r="A1" s="5" t="s">
        <v>281</v>
      </c>
    </row>
    <row r="2" spans="1:8" ht="17.25" customHeight="1" x14ac:dyDescent="0.25">
      <c r="A2" s="6" t="s">
        <v>26</v>
      </c>
    </row>
    <row r="3" spans="1:8" ht="30" customHeight="1" x14ac:dyDescent="0.25">
      <c r="A3" s="19" t="s">
        <v>282</v>
      </c>
      <c r="B3" s="20"/>
      <c r="C3" s="20"/>
      <c r="D3" s="20"/>
      <c r="E3" s="20"/>
      <c r="F3" s="20"/>
      <c r="G3" s="20"/>
      <c r="H3" s="20"/>
    </row>
    <row r="4" spans="1:8" ht="15" customHeight="1" x14ac:dyDescent="0.25">
      <c r="A4" s="7" t="s">
        <v>43</v>
      </c>
      <c r="C4" s="7" t="s">
        <v>45</v>
      </c>
      <c r="E4" s="7" t="s">
        <v>47</v>
      </c>
    </row>
    <row r="6" spans="1:8" ht="31.5" customHeight="1" x14ac:dyDescent="0.25">
      <c r="A6" s="8" t="s">
        <v>283</v>
      </c>
      <c r="B6" s="8" t="s">
        <v>284</v>
      </c>
      <c r="C6" s="8" t="s">
        <v>285</v>
      </c>
      <c r="D6" s="8" t="s">
        <v>286</v>
      </c>
      <c r="E6" s="8" t="s">
        <v>287</v>
      </c>
      <c r="F6" s="8" t="s">
        <v>288</v>
      </c>
      <c r="G6" s="8" t="s">
        <v>289</v>
      </c>
      <c r="H6" s="8" t="s">
        <v>290</v>
      </c>
    </row>
    <row r="7" spans="1:8" ht="27.75" customHeight="1" x14ac:dyDescent="0.25">
      <c r="A7" s="15" t="s">
        <v>291</v>
      </c>
      <c r="B7" s="15" t="s">
        <v>292</v>
      </c>
      <c r="C7" s="15" t="s">
        <v>293</v>
      </c>
      <c r="D7" s="15" t="s">
        <v>294</v>
      </c>
      <c r="E7" s="15" t="s">
        <v>295</v>
      </c>
      <c r="F7" s="15" t="s">
        <v>296</v>
      </c>
      <c r="G7" s="15" t="s">
        <v>297</v>
      </c>
      <c r="H7" s="15" t="s">
        <v>298</v>
      </c>
    </row>
    <row r="8" spans="1:8" ht="15" customHeight="1" x14ac:dyDescent="0.25">
      <c r="A8" s="9"/>
      <c r="B8" s="9"/>
      <c r="C8" s="9"/>
      <c r="D8" s="9"/>
      <c r="E8" s="9"/>
      <c r="F8" s="9"/>
      <c r="G8" s="9"/>
      <c r="H8" s="9"/>
    </row>
    <row r="9" spans="1:8" ht="15" customHeight="1" x14ac:dyDescent="0.25">
      <c r="A9" s="9"/>
      <c r="B9" s="9"/>
      <c r="C9" s="9"/>
      <c r="D9" s="9"/>
      <c r="E9" s="9"/>
      <c r="F9" s="9"/>
      <c r="G9" s="9"/>
      <c r="H9" s="9"/>
    </row>
    <row r="10" spans="1:8" ht="15" customHeight="1" x14ac:dyDescent="0.25">
      <c r="A10" s="9"/>
      <c r="B10" s="9"/>
      <c r="C10" s="9"/>
      <c r="D10" s="9"/>
      <c r="E10" s="9"/>
      <c r="F10" s="9"/>
      <c r="G10" s="9"/>
      <c r="H10" s="9"/>
    </row>
    <row r="11" spans="1:8" ht="15" customHeight="1" x14ac:dyDescent="0.25">
      <c r="A11" s="9"/>
      <c r="B11" s="9"/>
      <c r="C11" s="9"/>
      <c r="D11" s="9"/>
      <c r="E11" s="9"/>
      <c r="F11" s="9"/>
      <c r="G11" s="9"/>
      <c r="H11" s="9"/>
    </row>
    <row r="12" spans="1:8" ht="15" customHeight="1" x14ac:dyDescent="0.25">
      <c r="A12" s="9"/>
      <c r="B12" s="9"/>
      <c r="C12" s="9"/>
      <c r="D12" s="9"/>
      <c r="E12" s="9"/>
      <c r="F12" s="9"/>
      <c r="G12" s="9"/>
      <c r="H12" s="9"/>
    </row>
    <row r="13" spans="1:8" ht="15" customHeight="1" x14ac:dyDescent="0.25">
      <c r="A13" s="9"/>
      <c r="B13" s="9"/>
      <c r="C13" s="9"/>
      <c r="D13" s="9"/>
      <c r="E13" s="9"/>
      <c r="F13" s="9"/>
      <c r="G13" s="9"/>
      <c r="H13" s="9"/>
    </row>
    <row r="14" spans="1:8" ht="15" customHeight="1" x14ac:dyDescent="0.25">
      <c r="A14" s="9"/>
      <c r="B14" s="9"/>
      <c r="C14" s="9"/>
      <c r="D14" s="9"/>
      <c r="E14" s="9"/>
      <c r="F14" s="9"/>
      <c r="G14" s="9"/>
      <c r="H14" s="9"/>
    </row>
    <row r="15" spans="1:8" ht="15" customHeight="1" x14ac:dyDescent="0.25">
      <c r="A15" s="9"/>
      <c r="B15" s="9"/>
      <c r="C15" s="9"/>
      <c r="D15" s="9"/>
      <c r="E15" s="9"/>
      <c r="F15" s="9"/>
      <c r="G15" s="9"/>
      <c r="H15" s="9"/>
    </row>
    <row r="16" spans="1:8" ht="15" customHeight="1" x14ac:dyDescent="0.25">
      <c r="A16" s="9"/>
      <c r="B16" s="9"/>
      <c r="C16" s="9"/>
      <c r="D16" s="9"/>
      <c r="E16" s="9"/>
      <c r="F16" s="9"/>
      <c r="G16" s="9"/>
      <c r="H16" s="9"/>
    </row>
    <row r="17" spans="1:8" ht="15" customHeight="1" x14ac:dyDescent="0.25">
      <c r="A17" s="9"/>
      <c r="B17" s="9"/>
      <c r="C17" s="9"/>
      <c r="D17" s="9"/>
      <c r="E17" s="9"/>
      <c r="F17" s="9"/>
      <c r="G17" s="9"/>
      <c r="H17" s="9"/>
    </row>
    <row r="18" spans="1:8" ht="15" customHeight="1" x14ac:dyDescent="0.25">
      <c r="A18" s="9"/>
      <c r="B18" s="9"/>
      <c r="C18" s="9"/>
      <c r="D18" s="9"/>
      <c r="E18" s="9"/>
      <c r="F18" s="9"/>
      <c r="G18" s="9"/>
      <c r="H18" s="9"/>
    </row>
    <row r="19" spans="1:8" ht="15" customHeight="1" x14ac:dyDescent="0.25">
      <c r="A19" s="9"/>
      <c r="B19" s="9"/>
      <c r="C19" s="9"/>
      <c r="D19" s="9"/>
      <c r="E19" s="9"/>
      <c r="F19" s="9"/>
      <c r="G19" s="9"/>
      <c r="H19" s="9"/>
    </row>
    <row r="20" spans="1:8" ht="15" customHeight="1" x14ac:dyDescent="0.25">
      <c r="A20" s="9"/>
      <c r="B20" s="9"/>
      <c r="C20" s="9"/>
      <c r="D20" s="9"/>
      <c r="E20" s="9"/>
      <c r="F20" s="9"/>
      <c r="G20" s="9"/>
      <c r="H20" s="9"/>
    </row>
    <row r="21" spans="1:8" ht="15" customHeight="1" x14ac:dyDescent="0.25">
      <c r="A21" s="9"/>
      <c r="B21" s="9"/>
      <c r="C21" s="9"/>
      <c r="D21" s="9"/>
      <c r="E21" s="9"/>
      <c r="F21" s="9"/>
      <c r="G21" s="9"/>
      <c r="H21" s="9"/>
    </row>
    <row r="22" spans="1:8" ht="15" customHeight="1" x14ac:dyDescent="0.25">
      <c r="A22" s="9"/>
      <c r="B22" s="9"/>
      <c r="C22" s="9"/>
      <c r="D22" s="9"/>
      <c r="E22" s="9"/>
      <c r="F22" s="9"/>
      <c r="G22" s="9"/>
      <c r="H22" s="9"/>
    </row>
  </sheetData>
  <mergeCells count="1">
    <mergeCell ref="A3:H3"/>
  </mergeCells>
  <dataValidations count="3">
    <dataValidation type="list" allowBlank="1" sqref="B7:B22" xr:uid="{00000000-0002-0000-0700-000000000000}">
      <formula1>"Hecho,Dimensión,Desconectada,Excepciones"</formula1>
      <formula2>0</formula2>
    </dataValidation>
    <dataValidation type="list" allowBlank="1" sqref="F7:F22" xr:uid="{00000000-0002-0000-0700-000001000000}">
      <formula1>"Varios a uno,Uno a uno,Varios a varios"</formula1>
      <formula2>0</formula2>
    </dataValidation>
    <dataValidation type="list" allowBlank="1" sqref="G7:G22" xr:uid="{00000000-0002-0000-0700-000002000000}">
      <formula1>"Única,Ambas"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22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22" customWidth="1"/>
    <col min="3" max="3" width="32" customWidth="1"/>
    <col min="4" max="5" width="14" customWidth="1"/>
    <col min="6" max="6" width="11" customWidth="1"/>
    <col min="7" max="7" width="34" customWidth="1"/>
  </cols>
  <sheetData>
    <row r="1" spans="1:7" ht="15" customHeight="1" x14ac:dyDescent="0.25">
      <c r="A1" s="5" t="s">
        <v>299</v>
      </c>
    </row>
    <row r="2" spans="1:7" ht="17.25" customHeight="1" x14ac:dyDescent="0.25">
      <c r="A2" s="6" t="s">
        <v>29</v>
      </c>
    </row>
    <row r="3" spans="1:7" ht="30" customHeight="1" x14ac:dyDescent="0.25">
      <c r="A3" s="19" t="s">
        <v>300</v>
      </c>
      <c r="B3" s="20"/>
      <c r="C3" s="20"/>
      <c r="D3" s="20"/>
      <c r="E3" s="20"/>
      <c r="F3" s="20"/>
      <c r="G3" s="20"/>
    </row>
    <row r="4" spans="1:7" ht="15" customHeight="1" x14ac:dyDescent="0.25">
      <c r="A4" s="7" t="s">
        <v>43</v>
      </c>
      <c r="C4" s="7" t="s">
        <v>45</v>
      </c>
      <c r="E4" s="7" t="s">
        <v>47</v>
      </c>
    </row>
    <row r="6" spans="1:7" ht="31.5" customHeight="1" x14ac:dyDescent="0.25">
      <c r="A6" s="8" t="s">
        <v>301</v>
      </c>
      <c r="B6" s="8" t="s">
        <v>302</v>
      </c>
      <c r="C6" s="8" t="s">
        <v>303</v>
      </c>
      <c r="D6" s="8" t="s">
        <v>304</v>
      </c>
      <c r="E6" s="8" t="s">
        <v>305</v>
      </c>
      <c r="F6" s="8" t="s">
        <v>306</v>
      </c>
      <c r="G6" s="8" t="s">
        <v>307</v>
      </c>
    </row>
    <row r="7" spans="1:7" ht="15" customHeight="1" x14ac:dyDescent="0.25">
      <c r="A7" s="15" t="s">
        <v>308</v>
      </c>
      <c r="B7" s="15" t="s">
        <v>308</v>
      </c>
      <c r="C7" s="15" t="s">
        <v>309</v>
      </c>
      <c r="D7" s="18">
        <v>0.77700000000000002</v>
      </c>
      <c r="E7" s="18">
        <v>0.77700000000000002</v>
      </c>
      <c r="F7" s="15" t="str">
        <f t="shared" ref="F7:F22" si="0">IF(OR(D7="",E7=""),"",IF(ABS(D7-E7)&lt;0.0005,"Sí","No"))</f>
        <v>Sí</v>
      </c>
      <c r="G7" s="15"/>
    </row>
    <row r="8" spans="1:7" ht="15" customHeight="1" x14ac:dyDescent="0.25">
      <c r="A8" s="9"/>
      <c r="B8" s="9"/>
      <c r="C8" s="9"/>
      <c r="D8" s="10"/>
      <c r="E8" s="10"/>
      <c r="F8" s="9" t="str">
        <f t="shared" si="0"/>
        <v/>
      </c>
      <c r="G8" s="9"/>
    </row>
    <row r="9" spans="1:7" ht="15" customHeight="1" x14ac:dyDescent="0.25">
      <c r="A9" s="9"/>
      <c r="B9" s="9"/>
      <c r="C9" s="9"/>
      <c r="D9" s="10"/>
      <c r="E9" s="10"/>
      <c r="F9" s="9" t="str">
        <f t="shared" si="0"/>
        <v/>
      </c>
      <c r="G9" s="9"/>
    </row>
    <row r="10" spans="1:7" ht="15" customHeight="1" x14ac:dyDescent="0.25">
      <c r="A10" s="9"/>
      <c r="B10" s="9"/>
      <c r="C10" s="9"/>
      <c r="D10" s="10"/>
      <c r="E10" s="10"/>
      <c r="F10" s="9" t="str">
        <f t="shared" si="0"/>
        <v/>
      </c>
      <c r="G10" s="9"/>
    </row>
    <row r="11" spans="1:7" ht="15" customHeight="1" x14ac:dyDescent="0.25">
      <c r="A11" s="9"/>
      <c r="B11" s="9"/>
      <c r="C11" s="9"/>
      <c r="D11" s="10"/>
      <c r="E11" s="10"/>
      <c r="F11" s="9" t="str">
        <f t="shared" si="0"/>
        <v/>
      </c>
      <c r="G11" s="9"/>
    </row>
    <row r="12" spans="1:7" ht="15" customHeight="1" x14ac:dyDescent="0.25">
      <c r="A12" s="9"/>
      <c r="B12" s="9"/>
      <c r="C12" s="9"/>
      <c r="D12" s="10"/>
      <c r="E12" s="10"/>
      <c r="F12" s="9" t="str">
        <f t="shared" si="0"/>
        <v/>
      </c>
      <c r="G12" s="9"/>
    </row>
    <row r="13" spans="1:7" ht="15" customHeight="1" x14ac:dyDescent="0.25">
      <c r="A13" s="9"/>
      <c r="B13" s="9"/>
      <c r="C13" s="9"/>
      <c r="D13" s="10"/>
      <c r="E13" s="10"/>
      <c r="F13" s="9" t="str">
        <f t="shared" si="0"/>
        <v/>
      </c>
      <c r="G13" s="9"/>
    </row>
    <row r="14" spans="1:7" ht="15" customHeight="1" x14ac:dyDescent="0.25">
      <c r="A14" s="9"/>
      <c r="B14" s="9"/>
      <c r="C14" s="9"/>
      <c r="D14" s="10"/>
      <c r="E14" s="10"/>
      <c r="F14" s="9" t="str">
        <f t="shared" si="0"/>
        <v/>
      </c>
      <c r="G14" s="9"/>
    </row>
    <row r="15" spans="1:7" ht="15" customHeight="1" x14ac:dyDescent="0.25">
      <c r="A15" s="9"/>
      <c r="B15" s="9"/>
      <c r="C15" s="9"/>
      <c r="D15" s="10"/>
      <c r="E15" s="10"/>
      <c r="F15" s="9" t="str">
        <f t="shared" si="0"/>
        <v/>
      </c>
      <c r="G15" s="9"/>
    </row>
    <row r="16" spans="1:7" ht="15" customHeight="1" x14ac:dyDescent="0.25">
      <c r="A16" s="9"/>
      <c r="B16" s="9"/>
      <c r="C16" s="9"/>
      <c r="D16" s="10"/>
      <c r="E16" s="10"/>
      <c r="F16" s="9" t="str">
        <f t="shared" si="0"/>
        <v/>
      </c>
      <c r="G16" s="9"/>
    </row>
    <row r="17" spans="1:7" ht="15" customHeight="1" x14ac:dyDescent="0.25">
      <c r="A17" s="9"/>
      <c r="B17" s="9"/>
      <c r="C17" s="9"/>
      <c r="D17" s="10"/>
      <c r="E17" s="10"/>
      <c r="F17" s="9" t="str">
        <f t="shared" si="0"/>
        <v/>
      </c>
      <c r="G17" s="9"/>
    </row>
    <row r="18" spans="1:7" ht="15" customHeight="1" x14ac:dyDescent="0.25">
      <c r="A18" s="9"/>
      <c r="B18" s="9"/>
      <c r="C18" s="9"/>
      <c r="D18" s="10"/>
      <c r="E18" s="10"/>
      <c r="F18" s="9" t="str">
        <f t="shared" si="0"/>
        <v/>
      </c>
      <c r="G18" s="9"/>
    </row>
    <row r="19" spans="1:7" ht="15" customHeight="1" x14ac:dyDescent="0.25">
      <c r="A19" s="9"/>
      <c r="B19" s="9"/>
      <c r="C19" s="9"/>
      <c r="D19" s="10"/>
      <c r="E19" s="10"/>
      <c r="F19" s="9" t="str">
        <f t="shared" si="0"/>
        <v/>
      </c>
      <c r="G19" s="9"/>
    </row>
    <row r="20" spans="1:7" ht="15" customHeight="1" x14ac:dyDescent="0.25">
      <c r="A20" s="9"/>
      <c r="B20" s="9"/>
      <c r="C20" s="9"/>
      <c r="D20" s="10"/>
      <c r="E20" s="10"/>
      <c r="F20" s="9" t="str">
        <f t="shared" si="0"/>
        <v/>
      </c>
      <c r="G20" s="9"/>
    </row>
    <row r="21" spans="1:7" ht="15" customHeight="1" x14ac:dyDescent="0.25">
      <c r="A21" s="9"/>
      <c r="B21" s="9"/>
      <c r="C21" s="9"/>
      <c r="D21" s="10"/>
      <c r="E21" s="10"/>
      <c r="F21" s="9" t="str">
        <f t="shared" si="0"/>
        <v/>
      </c>
      <c r="G21" s="9"/>
    </row>
    <row r="22" spans="1:7" ht="15" customHeight="1" x14ac:dyDescent="0.25">
      <c r="A22" s="9"/>
      <c r="B22" s="9"/>
      <c r="C22" s="9"/>
      <c r="D22" s="10"/>
      <c r="E22" s="10"/>
      <c r="F22" s="9" t="str">
        <f t="shared" si="0"/>
        <v/>
      </c>
      <c r="G22" s="9"/>
    </row>
  </sheetData>
  <mergeCells count="1">
    <mergeCell ref="A3:G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22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24" customWidth="1"/>
    <col min="3" max="6" width="10" customWidth="1"/>
    <col min="7" max="8" width="28" customWidth="1"/>
  </cols>
  <sheetData>
    <row r="1" spans="1:8" ht="15" customHeight="1" x14ac:dyDescent="0.25">
      <c r="A1" s="5" t="s">
        <v>310</v>
      </c>
    </row>
    <row r="2" spans="1:8" ht="17.25" customHeight="1" x14ac:dyDescent="0.25">
      <c r="A2" s="6" t="s">
        <v>32</v>
      </c>
    </row>
    <row r="3" spans="1:8" ht="30" customHeight="1" x14ac:dyDescent="0.25">
      <c r="A3" s="19" t="s">
        <v>311</v>
      </c>
      <c r="B3" s="20"/>
      <c r="C3" s="20"/>
      <c r="D3" s="20"/>
      <c r="E3" s="20"/>
      <c r="F3" s="20"/>
      <c r="G3" s="20"/>
      <c r="H3" s="20"/>
    </row>
    <row r="4" spans="1:8" ht="15" customHeight="1" x14ac:dyDescent="0.25">
      <c r="A4" s="7" t="s">
        <v>43</v>
      </c>
      <c r="C4" s="7" t="s">
        <v>45</v>
      </c>
      <c r="E4" s="7" t="s">
        <v>47</v>
      </c>
    </row>
    <row r="6" spans="1:8" ht="31.5" customHeight="1" x14ac:dyDescent="0.25">
      <c r="A6" s="8" t="s">
        <v>312</v>
      </c>
      <c r="B6" s="8" t="s">
        <v>313</v>
      </c>
      <c r="C6" s="8" t="s">
        <v>314</v>
      </c>
      <c r="D6" s="8" t="s">
        <v>315</v>
      </c>
      <c r="E6" s="8" t="s">
        <v>316</v>
      </c>
      <c r="F6" s="8" t="s">
        <v>317</v>
      </c>
      <c r="G6" s="8" t="s">
        <v>318</v>
      </c>
      <c r="H6" s="8" t="s">
        <v>319</v>
      </c>
    </row>
    <row r="7" spans="1:8" ht="15" customHeight="1" x14ac:dyDescent="0.25">
      <c r="A7" s="15" t="s">
        <v>320</v>
      </c>
      <c r="B7" s="15" t="s">
        <v>321</v>
      </c>
      <c r="C7" s="15" t="s">
        <v>322</v>
      </c>
      <c r="D7" s="18">
        <v>0.95899999999999996</v>
      </c>
      <c r="E7" s="18">
        <v>0.96899999999999997</v>
      </c>
      <c r="F7" s="18">
        <v>0.97899999999999998</v>
      </c>
      <c r="G7" s="15" t="s">
        <v>323</v>
      </c>
      <c r="H7" s="15" t="s">
        <v>324</v>
      </c>
    </row>
    <row r="8" spans="1:8" ht="15" customHeight="1" x14ac:dyDescent="0.25">
      <c r="A8" s="9"/>
      <c r="B8" s="9"/>
      <c r="C8" s="9"/>
      <c r="D8" s="10"/>
      <c r="E8" s="10"/>
      <c r="F8" s="10"/>
      <c r="G8" s="9"/>
      <c r="H8" s="9"/>
    </row>
    <row r="9" spans="1:8" ht="15" customHeight="1" x14ac:dyDescent="0.25">
      <c r="A9" s="9"/>
      <c r="B9" s="9"/>
      <c r="C9" s="9"/>
      <c r="D9" s="10"/>
      <c r="E9" s="10"/>
      <c r="F9" s="10"/>
      <c r="G9" s="9"/>
      <c r="H9" s="9"/>
    </row>
    <row r="10" spans="1:8" ht="15" customHeight="1" x14ac:dyDescent="0.25">
      <c r="A10" s="9"/>
      <c r="B10" s="9"/>
      <c r="C10" s="9"/>
      <c r="D10" s="10"/>
      <c r="E10" s="10"/>
      <c r="F10" s="10"/>
      <c r="G10" s="9"/>
      <c r="H10" s="9"/>
    </row>
    <row r="11" spans="1:8" ht="15" customHeight="1" x14ac:dyDescent="0.25">
      <c r="A11" s="9"/>
      <c r="B11" s="9"/>
      <c r="C11" s="9"/>
      <c r="D11" s="10"/>
      <c r="E11" s="10"/>
      <c r="F11" s="10"/>
      <c r="G11" s="9"/>
      <c r="H11" s="9"/>
    </row>
    <row r="12" spans="1:8" ht="15" customHeight="1" x14ac:dyDescent="0.25">
      <c r="A12" s="9"/>
      <c r="B12" s="9"/>
      <c r="C12" s="9"/>
      <c r="D12" s="10"/>
      <c r="E12" s="10"/>
      <c r="F12" s="10"/>
      <c r="G12" s="9"/>
      <c r="H12" s="9"/>
    </row>
    <row r="13" spans="1:8" ht="15" customHeight="1" x14ac:dyDescent="0.25">
      <c r="A13" s="9"/>
      <c r="B13" s="9"/>
      <c r="C13" s="9"/>
      <c r="D13" s="10"/>
      <c r="E13" s="10"/>
      <c r="F13" s="10"/>
      <c r="G13" s="9"/>
      <c r="H13" s="9"/>
    </row>
    <row r="14" spans="1:8" ht="15" customHeight="1" x14ac:dyDescent="0.25">
      <c r="A14" s="9"/>
      <c r="B14" s="9"/>
      <c r="C14" s="9"/>
      <c r="D14" s="10"/>
      <c r="E14" s="10"/>
      <c r="F14" s="10"/>
      <c r="G14" s="9"/>
      <c r="H14" s="9"/>
    </row>
    <row r="15" spans="1:8" ht="15" customHeight="1" x14ac:dyDescent="0.25">
      <c r="A15" s="9"/>
      <c r="B15" s="9"/>
      <c r="C15" s="9"/>
      <c r="D15" s="10"/>
      <c r="E15" s="10"/>
      <c r="F15" s="10"/>
      <c r="G15" s="9"/>
      <c r="H15" s="9"/>
    </row>
    <row r="16" spans="1:8" ht="15" customHeight="1" x14ac:dyDescent="0.25">
      <c r="A16" s="9"/>
      <c r="B16" s="9"/>
      <c r="C16" s="9"/>
      <c r="D16" s="10"/>
      <c r="E16" s="10"/>
      <c r="F16" s="10"/>
      <c r="G16" s="9"/>
      <c r="H16" s="9"/>
    </row>
    <row r="17" spans="1:8" ht="15" customHeight="1" x14ac:dyDescent="0.25">
      <c r="A17" s="9"/>
      <c r="B17" s="9"/>
      <c r="C17" s="9"/>
      <c r="D17" s="10"/>
      <c r="E17" s="10"/>
      <c r="F17" s="10"/>
      <c r="G17" s="9"/>
      <c r="H17" s="9"/>
    </row>
    <row r="18" spans="1:8" ht="15" customHeight="1" x14ac:dyDescent="0.25">
      <c r="A18" s="9"/>
      <c r="B18" s="9"/>
      <c r="C18" s="9"/>
      <c r="D18" s="10"/>
      <c r="E18" s="10"/>
      <c r="F18" s="10"/>
      <c r="G18" s="9"/>
      <c r="H18" s="9"/>
    </row>
    <row r="19" spans="1:8" ht="15" customHeight="1" x14ac:dyDescent="0.25">
      <c r="A19" s="9"/>
      <c r="B19" s="9"/>
      <c r="C19" s="9"/>
      <c r="D19" s="10"/>
      <c r="E19" s="10"/>
      <c r="F19" s="10"/>
      <c r="G19" s="9"/>
      <c r="H19" s="9"/>
    </row>
    <row r="20" spans="1:8" ht="15" customHeight="1" x14ac:dyDescent="0.25">
      <c r="A20" s="9"/>
      <c r="B20" s="9"/>
      <c r="C20" s="9"/>
      <c r="D20" s="10"/>
      <c r="E20" s="10"/>
      <c r="F20" s="10"/>
      <c r="G20" s="9"/>
      <c r="H20" s="9"/>
    </row>
    <row r="21" spans="1:8" ht="15" customHeight="1" x14ac:dyDescent="0.25">
      <c r="A21" s="9"/>
      <c r="B21" s="9"/>
      <c r="C21" s="9"/>
      <c r="D21" s="10"/>
      <c r="E21" s="10"/>
      <c r="F21" s="10"/>
      <c r="G21" s="9"/>
      <c r="H21" s="9"/>
    </row>
    <row r="22" spans="1:8" ht="15" customHeight="1" x14ac:dyDescent="0.25">
      <c r="A22" s="9"/>
      <c r="B22" s="9"/>
      <c r="C22" s="9"/>
      <c r="D22" s="10"/>
      <c r="E22" s="10"/>
      <c r="F22" s="10"/>
      <c r="G22" s="9"/>
      <c r="H22" s="9"/>
    </row>
  </sheetData>
  <mergeCells count="1">
    <mergeCell ref="A3:H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22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30" customWidth="1"/>
    <col min="2" max="2" width="18" customWidth="1"/>
    <col min="3" max="3" width="30" customWidth="1"/>
    <col min="4" max="4" width="13" customWidth="1"/>
    <col min="5" max="5" width="12" customWidth="1"/>
    <col min="6" max="6" width="11" customWidth="1"/>
    <col min="7" max="7" width="30" customWidth="1"/>
  </cols>
  <sheetData>
    <row r="1" spans="1:7" ht="15" customHeight="1" x14ac:dyDescent="0.25">
      <c r="A1" s="5" t="s">
        <v>325</v>
      </c>
    </row>
    <row r="2" spans="1:7" ht="17.25" customHeight="1" x14ac:dyDescent="0.25">
      <c r="A2" s="6" t="s">
        <v>35</v>
      </c>
    </row>
    <row r="3" spans="1:7" ht="30" customHeight="1" x14ac:dyDescent="0.25">
      <c r="A3" s="19" t="s">
        <v>326</v>
      </c>
      <c r="B3" s="20"/>
      <c r="C3" s="20"/>
      <c r="D3" s="20"/>
      <c r="E3" s="20"/>
      <c r="F3" s="20"/>
      <c r="G3" s="20"/>
    </row>
    <row r="4" spans="1:7" ht="15" customHeight="1" x14ac:dyDescent="0.25">
      <c r="A4" s="7" t="s">
        <v>43</v>
      </c>
      <c r="C4" s="7" t="s">
        <v>45</v>
      </c>
      <c r="E4" s="7" t="s">
        <v>47</v>
      </c>
    </row>
    <row r="6" spans="1:7" ht="31.5" customHeight="1" x14ac:dyDescent="0.25">
      <c r="A6" s="8" t="s">
        <v>327</v>
      </c>
      <c r="B6" s="8" t="s">
        <v>328</v>
      </c>
      <c r="C6" s="8" t="s">
        <v>329</v>
      </c>
      <c r="D6" s="8" t="s">
        <v>330</v>
      </c>
      <c r="E6" s="8" t="s">
        <v>331</v>
      </c>
      <c r="F6" s="8" t="s">
        <v>332</v>
      </c>
      <c r="G6" s="8" t="s">
        <v>333</v>
      </c>
    </row>
    <row r="7" spans="1:7" ht="15" customHeight="1" x14ac:dyDescent="0.25">
      <c r="A7" s="15" t="s">
        <v>334</v>
      </c>
      <c r="B7" s="15" t="s">
        <v>335</v>
      </c>
      <c r="C7" s="15" t="s">
        <v>336</v>
      </c>
      <c r="D7" s="16">
        <v>645</v>
      </c>
      <c r="E7" s="16">
        <v>645</v>
      </c>
      <c r="F7" s="15" t="str">
        <f t="shared" ref="F7:F22" si="0">IF(OR(D7="",E7=""),"",IF(D7=E7,"Pasa","Falla"))</f>
        <v>Pasa</v>
      </c>
      <c r="G7" s="15"/>
    </row>
    <row r="8" spans="1:7" ht="15" customHeight="1" x14ac:dyDescent="0.25">
      <c r="A8" s="9"/>
      <c r="B8" s="9"/>
      <c r="C8" s="9"/>
      <c r="D8" s="17"/>
      <c r="E8" s="17"/>
      <c r="F8" s="9" t="str">
        <f t="shared" si="0"/>
        <v/>
      </c>
      <c r="G8" s="9"/>
    </row>
    <row r="9" spans="1:7" ht="15" customHeight="1" x14ac:dyDescent="0.25">
      <c r="A9" s="9"/>
      <c r="B9" s="9"/>
      <c r="C9" s="9"/>
      <c r="D9" s="17"/>
      <c r="E9" s="17"/>
      <c r="F9" s="9" t="str">
        <f t="shared" si="0"/>
        <v/>
      </c>
      <c r="G9" s="9"/>
    </row>
    <row r="10" spans="1:7" ht="15" customHeight="1" x14ac:dyDescent="0.25">
      <c r="A10" s="9"/>
      <c r="B10" s="9"/>
      <c r="C10" s="9"/>
      <c r="D10" s="17"/>
      <c r="E10" s="17"/>
      <c r="F10" s="9" t="str">
        <f t="shared" si="0"/>
        <v/>
      </c>
      <c r="G10" s="9"/>
    </row>
    <row r="11" spans="1:7" ht="15" customHeight="1" x14ac:dyDescent="0.25">
      <c r="A11" s="9"/>
      <c r="B11" s="9"/>
      <c r="C11" s="9"/>
      <c r="D11" s="17"/>
      <c r="E11" s="17"/>
      <c r="F11" s="9" t="str">
        <f t="shared" si="0"/>
        <v/>
      </c>
      <c r="G11" s="9"/>
    </row>
    <row r="12" spans="1:7" ht="15" customHeight="1" x14ac:dyDescent="0.25">
      <c r="A12" s="9"/>
      <c r="B12" s="9"/>
      <c r="C12" s="9"/>
      <c r="D12" s="17"/>
      <c r="E12" s="17"/>
      <c r="F12" s="9" t="str">
        <f t="shared" si="0"/>
        <v/>
      </c>
      <c r="G12" s="9"/>
    </row>
    <row r="13" spans="1:7" ht="15" customHeight="1" x14ac:dyDescent="0.25">
      <c r="A13" s="9"/>
      <c r="B13" s="9"/>
      <c r="C13" s="9"/>
      <c r="D13" s="17"/>
      <c r="E13" s="17"/>
      <c r="F13" s="9" t="str">
        <f t="shared" si="0"/>
        <v/>
      </c>
      <c r="G13" s="9"/>
    </row>
    <row r="14" spans="1:7" ht="15" customHeight="1" x14ac:dyDescent="0.25">
      <c r="A14" s="9"/>
      <c r="B14" s="9"/>
      <c r="C14" s="9"/>
      <c r="D14" s="17"/>
      <c r="E14" s="17"/>
      <c r="F14" s="9" t="str">
        <f t="shared" si="0"/>
        <v/>
      </c>
      <c r="G14" s="9"/>
    </row>
    <row r="15" spans="1:7" ht="15" customHeight="1" x14ac:dyDescent="0.25">
      <c r="A15" s="9"/>
      <c r="B15" s="9"/>
      <c r="C15" s="9"/>
      <c r="D15" s="17"/>
      <c r="E15" s="17"/>
      <c r="F15" s="9" t="str">
        <f t="shared" si="0"/>
        <v/>
      </c>
      <c r="G15" s="9"/>
    </row>
    <row r="16" spans="1:7" ht="15" customHeight="1" x14ac:dyDescent="0.25">
      <c r="A16" s="9"/>
      <c r="B16" s="9"/>
      <c r="C16" s="9"/>
      <c r="D16" s="17"/>
      <c r="E16" s="17"/>
      <c r="F16" s="9" t="str">
        <f t="shared" si="0"/>
        <v/>
      </c>
      <c r="G16" s="9"/>
    </row>
    <row r="17" spans="1:7" ht="15" customHeight="1" x14ac:dyDescent="0.25">
      <c r="A17" s="9"/>
      <c r="B17" s="9"/>
      <c r="C17" s="9"/>
      <c r="D17" s="17"/>
      <c r="E17" s="17"/>
      <c r="F17" s="9" t="str">
        <f t="shared" si="0"/>
        <v/>
      </c>
      <c r="G17" s="9"/>
    </row>
    <row r="18" spans="1:7" ht="15" customHeight="1" x14ac:dyDescent="0.25">
      <c r="A18" s="9"/>
      <c r="B18" s="9"/>
      <c r="C18" s="9"/>
      <c r="D18" s="17"/>
      <c r="E18" s="17"/>
      <c r="F18" s="9" t="str">
        <f t="shared" si="0"/>
        <v/>
      </c>
      <c r="G18" s="9"/>
    </row>
    <row r="19" spans="1:7" ht="15" customHeight="1" x14ac:dyDescent="0.25">
      <c r="A19" s="9"/>
      <c r="B19" s="9"/>
      <c r="C19" s="9"/>
      <c r="D19" s="17"/>
      <c r="E19" s="17"/>
      <c r="F19" s="9" t="str">
        <f t="shared" si="0"/>
        <v/>
      </c>
      <c r="G19" s="9"/>
    </row>
    <row r="20" spans="1:7" ht="15" customHeight="1" x14ac:dyDescent="0.25">
      <c r="A20" s="9"/>
      <c r="B20" s="9"/>
      <c r="C20" s="9"/>
      <c r="D20" s="17"/>
      <c r="E20" s="17"/>
      <c r="F20" s="9" t="str">
        <f t="shared" si="0"/>
        <v/>
      </c>
      <c r="G20" s="9"/>
    </row>
    <row r="21" spans="1:7" ht="15" customHeight="1" x14ac:dyDescent="0.25">
      <c r="A21" s="9"/>
      <c r="B21" s="9"/>
      <c r="C21" s="9"/>
      <c r="D21" s="17"/>
      <c r="E21" s="17"/>
      <c r="F21" s="9" t="str">
        <f t="shared" si="0"/>
        <v/>
      </c>
      <c r="G21" s="9"/>
    </row>
    <row r="22" spans="1:7" ht="15" customHeight="1" x14ac:dyDescent="0.25">
      <c r="A22" s="9"/>
      <c r="B22" s="9"/>
      <c r="C22" s="9"/>
      <c r="D22" s="17"/>
      <c r="E22" s="17"/>
      <c r="F22" s="9" t="str">
        <f t="shared" si="0"/>
        <v/>
      </c>
      <c r="G22" s="9"/>
    </row>
  </sheetData>
  <mergeCells count="1">
    <mergeCell ref="A3:G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22"/>
  <sheetViews>
    <sheetView zoomScaleNormal="100" workbookViewId="0">
      <pane ySplit="6" topLeftCell="A7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40" customWidth="1"/>
    <col min="3" max="3" width="22" customWidth="1"/>
    <col min="4" max="4" width="32" customWidth="1"/>
    <col min="5" max="5" width="16" customWidth="1"/>
    <col min="6" max="6" width="30" customWidth="1"/>
    <col min="7" max="7" width="14" customWidth="1"/>
  </cols>
  <sheetData>
    <row r="1" spans="1:7" ht="15" customHeight="1" x14ac:dyDescent="0.25">
      <c r="A1" s="5" t="s">
        <v>337</v>
      </c>
    </row>
    <row r="2" spans="1:7" ht="17.25" customHeight="1" x14ac:dyDescent="0.25">
      <c r="A2" s="6" t="s">
        <v>38</v>
      </c>
    </row>
    <row r="3" spans="1:7" ht="30" customHeight="1" x14ac:dyDescent="0.25">
      <c r="A3" s="19" t="s">
        <v>338</v>
      </c>
      <c r="B3" s="20"/>
      <c r="C3" s="20"/>
      <c r="D3" s="20"/>
      <c r="E3" s="20"/>
      <c r="F3" s="20"/>
      <c r="G3" s="20"/>
    </row>
    <row r="4" spans="1:7" ht="15" customHeight="1" x14ac:dyDescent="0.25">
      <c r="A4" s="7" t="s">
        <v>43</v>
      </c>
      <c r="C4" s="7" t="s">
        <v>45</v>
      </c>
      <c r="E4" s="7" t="s">
        <v>47</v>
      </c>
    </row>
    <row r="6" spans="1:7" ht="31.5" customHeight="1" x14ac:dyDescent="0.25">
      <c r="A6" s="8" t="s">
        <v>339</v>
      </c>
      <c r="B6" s="8" t="s">
        <v>340</v>
      </c>
      <c r="C6" s="8" t="s">
        <v>341</v>
      </c>
      <c r="D6" s="8" t="s">
        <v>342</v>
      </c>
      <c r="E6" s="8" t="s">
        <v>343</v>
      </c>
      <c r="F6" s="8" t="s">
        <v>344</v>
      </c>
      <c r="G6" s="8" t="s">
        <v>345</v>
      </c>
    </row>
    <row r="7" spans="1:7" ht="27.75" customHeight="1" x14ac:dyDescent="0.25">
      <c r="A7" s="16">
        <v>1</v>
      </c>
      <c r="B7" s="15" t="s">
        <v>346</v>
      </c>
      <c r="C7" s="15" t="s">
        <v>347</v>
      </c>
      <c r="D7" s="15" t="s">
        <v>348</v>
      </c>
      <c r="E7" s="15" t="s">
        <v>349</v>
      </c>
      <c r="F7" s="15" t="s">
        <v>350</v>
      </c>
      <c r="G7" s="15" t="s">
        <v>351</v>
      </c>
    </row>
    <row r="8" spans="1:7" ht="15" customHeight="1" x14ac:dyDescent="0.25">
      <c r="A8" s="17"/>
      <c r="B8" s="9"/>
      <c r="C8" s="9"/>
      <c r="D8" s="9"/>
      <c r="E8" s="9"/>
      <c r="F8" s="9"/>
      <c r="G8" s="9"/>
    </row>
    <row r="9" spans="1:7" ht="15" customHeight="1" x14ac:dyDescent="0.25">
      <c r="A9" s="17"/>
      <c r="B9" s="9"/>
      <c r="C9" s="9"/>
      <c r="D9" s="9"/>
      <c r="E9" s="9"/>
      <c r="F9" s="9"/>
      <c r="G9" s="9"/>
    </row>
    <row r="10" spans="1:7" ht="15" customHeight="1" x14ac:dyDescent="0.25">
      <c r="A10" s="17"/>
      <c r="B10" s="9"/>
      <c r="C10" s="9"/>
      <c r="D10" s="9"/>
      <c r="E10" s="9"/>
      <c r="F10" s="9"/>
      <c r="G10" s="9"/>
    </row>
    <row r="11" spans="1:7" ht="15" customHeight="1" x14ac:dyDescent="0.25">
      <c r="A11" s="17"/>
      <c r="B11" s="9"/>
      <c r="C11" s="9"/>
      <c r="D11" s="9"/>
      <c r="E11" s="9"/>
      <c r="F11" s="9"/>
      <c r="G11" s="9"/>
    </row>
    <row r="12" spans="1:7" ht="15" customHeight="1" x14ac:dyDescent="0.25">
      <c r="A12" s="17"/>
      <c r="B12" s="9"/>
      <c r="C12" s="9"/>
      <c r="D12" s="9"/>
      <c r="E12" s="9"/>
      <c r="F12" s="9"/>
      <c r="G12" s="9"/>
    </row>
    <row r="13" spans="1:7" ht="15" customHeight="1" x14ac:dyDescent="0.25">
      <c r="A13" s="17"/>
      <c r="B13" s="9"/>
      <c r="C13" s="9"/>
      <c r="D13" s="9"/>
      <c r="E13" s="9"/>
      <c r="F13" s="9"/>
      <c r="G13" s="9"/>
    </row>
    <row r="14" spans="1:7" ht="15" customHeight="1" x14ac:dyDescent="0.25">
      <c r="A14" s="17"/>
      <c r="B14" s="9"/>
      <c r="C14" s="9"/>
      <c r="D14" s="9"/>
      <c r="E14" s="9"/>
      <c r="F14" s="9"/>
      <c r="G14" s="9"/>
    </row>
    <row r="15" spans="1:7" ht="15" customHeight="1" x14ac:dyDescent="0.25">
      <c r="A15" s="17"/>
      <c r="B15" s="9"/>
      <c r="C15" s="9"/>
      <c r="D15" s="9"/>
      <c r="E15" s="9"/>
      <c r="F15" s="9"/>
      <c r="G15" s="9"/>
    </row>
    <row r="16" spans="1:7" ht="15" customHeight="1" x14ac:dyDescent="0.25">
      <c r="A16" s="17"/>
      <c r="B16" s="9"/>
      <c r="C16" s="9"/>
      <c r="D16" s="9"/>
      <c r="E16" s="9"/>
      <c r="F16" s="9"/>
      <c r="G16" s="9"/>
    </row>
    <row r="17" spans="1:7" ht="15" customHeight="1" x14ac:dyDescent="0.25">
      <c r="A17" s="17"/>
      <c r="B17" s="9"/>
      <c r="C17" s="9"/>
      <c r="D17" s="9"/>
      <c r="E17" s="9"/>
      <c r="F17" s="9"/>
      <c r="G17" s="9"/>
    </row>
    <row r="18" spans="1:7" ht="15" customHeight="1" x14ac:dyDescent="0.25">
      <c r="A18" s="17"/>
      <c r="B18" s="9"/>
      <c r="C18" s="9"/>
      <c r="D18" s="9"/>
      <c r="E18" s="9"/>
      <c r="F18" s="9"/>
      <c r="G18" s="9"/>
    </row>
    <row r="19" spans="1:7" ht="15" customHeight="1" x14ac:dyDescent="0.25">
      <c r="A19" s="17"/>
      <c r="B19" s="9"/>
      <c r="C19" s="9"/>
      <c r="D19" s="9"/>
      <c r="E19" s="9"/>
      <c r="F19" s="9"/>
      <c r="G19" s="9"/>
    </row>
    <row r="20" spans="1:7" ht="15" customHeight="1" x14ac:dyDescent="0.25">
      <c r="A20" s="17"/>
      <c r="B20" s="9"/>
      <c r="C20" s="9"/>
      <c r="D20" s="9"/>
      <c r="E20" s="9"/>
      <c r="F20" s="9"/>
      <c r="G20" s="9"/>
    </row>
    <row r="21" spans="1:7" ht="15" customHeight="1" x14ac:dyDescent="0.25">
      <c r="A21" s="17"/>
      <c r="B21" s="9"/>
      <c r="C21" s="9"/>
      <c r="D21" s="9"/>
      <c r="E21" s="9"/>
      <c r="F21" s="9"/>
      <c r="G21" s="9"/>
    </row>
    <row r="22" spans="1:7" ht="15" customHeight="1" x14ac:dyDescent="0.25">
      <c r="A22" s="17"/>
      <c r="B22" s="9"/>
      <c r="C22" s="9"/>
      <c r="D22" s="9"/>
      <c r="E22" s="9"/>
      <c r="F22" s="9"/>
      <c r="G22" s="9"/>
    </row>
  </sheetData>
  <mergeCells count="1">
    <mergeCell ref="A3:G3"/>
  </mergeCells>
  <dataValidations count="2">
    <dataValidation type="list" allowBlank="1" sqref="C7:C22" xr:uid="{00000000-0002-0000-0B00-000000000000}">
      <formula1>"1. Power Query,2. Modelo,3. DAX,4. Visualización,5. Estrategia y What-if,6. Defensa"</formula1>
      <formula2>0</formula2>
    </dataValidation>
    <dataValidation type="list" allowBlank="1" sqref="G7:G22" xr:uid="{00000000-0002-0000-0B00-000001000000}">
      <formula1>"Aplicada,Parcial,No aplicada (justificar)"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Instrucciones</vt:lpstr>
      <vt:lpstr>Fichas KPI</vt:lpstr>
      <vt:lpstr>Campos ficha KPI</vt:lpstr>
      <vt:lpstr>S01 Inventario</vt:lpstr>
      <vt:lpstr>S02 Mapa Silver</vt:lpstr>
      <vt:lpstr>S03 Linaje</vt:lpstr>
      <vt:lpstr>S04 Antes-después</vt:lpstr>
      <vt:lpstr>S05-S06 Modelo</vt:lpstr>
      <vt:lpstr>S07 KPI</vt:lpstr>
      <vt:lpstr>S10 Supuestos</vt:lpstr>
      <vt:lpstr>S11 Pruebas RLS</vt:lpstr>
      <vt:lpstr>S12 Mejoras</vt:lpstr>
      <vt:lpstr>'S02 Mapa Silver'!Print_Area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Rembert Rodrigo Tucuman Alarcon</cp:lastModifiedBy>
  <cp:revision>0</cp:revision>
  <dcterms:created xsi:type="dcterms:W3CDTF">2026-09-28T01:30:45Z</dcterms:created>
  <dcterms:modified xsi:type="dcterms:W3CDTF">2026-10-28T02:48:10Z</dcterms:modified>
  <dc:language>en-US</dc:language>
</cp:coreProperties>
</file>