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4780cc81ee48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5a76e4d4490c432d"/>
    <x:sheet xmlns:r="http://schemas.openxmlformats.org/officeDocument/2006/relationships" name="Fichas KPI" sheetId="2" r:id="R5f4f3bf3602546b3"/>
    <x:sheet xmlns:r="http://schemas.openxmlformats.org/officeDocument/2006/relationships" name="Campos ficha KPI" sheetId="3" r:id="R86e2e57e5b6a4fc5"/>
    <x:sheet xmlns:r="http://schemas.openxmlformats.org/officeDocument/2006/relationships" name="S01 Inventario" sheetId="4" r:id="R05b5723f3fff4407"/>
    <x:sheet xmlns:r="http://schemas.openxmlformats.org/officeDocument/2006/relationships" name="S02 Mapa Silver" sheetId="5" r:id="R49af5c807fb045e6"/>
    <x:sheet xmlns:r="http://schemas.openxmlformats.org/officeDocument/2006/relationships" name="S03 Linaje" sheetId="6" r:id="Re9e27a72c0474ace"/>
    <x:sheet xmlns:r="http://schemas.openxmlformats.org/officeDocument/2006/relationships" name="S04 Antes-después" sheetId="7" r:id="R65320902e2ad4a22"/>
    <x:sheet xmlns:r="http://schemas.openxmlformats.org/officeDocument/2006/relationships" name="S05-S06 Modelo" sheetId="8" r:id="R552f2a3ae5f94989"/>
    <x:sheet xmlns:r="http://schemas.openxmlformats.org/officeDocument/2006/relationships" name="S07 KPI" sheetId="9" r:id="R5c7659d585be418c"/>
    <x:sheet xmlns:r="http://schemas.openxmlformats.org/officeDocument/2006/relationships" name="S10 Supuestos" sheetId="10" r:id="Re162f42936a340cf"/>
    <x:sheet xmlns:r="http://schemas.openxmlformats.org/officeDocument/2006/relationships" name="S11 Pruebas RLS" sheetId="11" r:id="Rd6e85ee002294261"/>
    <x:sheet xmlns:r="http://schemas.openxmlformats.org/officeDocument/2006/relationships" name="S12 Mejoras" sheetId="12" r:id="Ra7baf701dcc74363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R7" authorId="0">
      <x:text>
        <x:r>
          <x:t>Umbral rojo de ejemplo (75 %) definido para la clase. Cada equipo justifica el suyo.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<x:sst xmlns:x="http://schemas.openxmlformats.org/spreadsheetml/2006/main">
  <x:si>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GIAD · Módulo 4 · Plantillas del Proyecto Integrador</x:t>
  </x:si>
  <x:si>
    <x:t xml:space="preserve">Una hoja por hito. Complete la hoja del hito durante la hora de equipo (una persona comparte pantalla, el resto decide) y suba el libro a Classroom.</x:t>
  </x:si>
  <x:si>
    <x:t xml:space="preserve">La fila gris de cada hoja es un ejemplo con Acería Andina: reemplácela con los datos de su subcaso. Los hitos son formativos; el proyecto se califica en la Sesión 13.</x:t>
  </x:si>
  <x:si>
    <x:t xml:space="preserve">Hoja</x:t>
  </x:si>
  <x:si>
    <x:t xml:space="preserve">Hito</x:t>
  </x:si>
  <x:si>
    <x:t xml:space="preserve">Contenido</x:t>
  </x:si>
  <x:si>
    <x:t xml:space="preserve">Fichas KPI</x:t>
  </x:si>
  <x:si>
    <x:t xml:space="preserve">Sesiones 01–13 · hilo</x:t>
  </x:si>
  <x:si>
    <x:t xml:space="preserve">Fichas de 5 a 8 KPI del subcaso; entrada del Módulo 5</x:t>
  </x:si>
  <x:si>
    <x:t xml:space="preserve">Campos ficha KPI</x:t>
  </x:si>
  <x:si>
    <x:t xml:space="preserve">Referencia</x:t>
  </x:si>
  <x:si>
    <x:t xml:space="preserve">Qué va en cada campo y para qué lo usa el Módulo 5</x:t>
  </x:si>
  <x:si>
    <x:t xml:space="preserve">S01 Inventario</x:t>
  </x:si>
  <x:si>
    <x:t xml:space="preserve">Sesión 01 · preparación</x:t>
  </x:si>
  <x:si>
    <x:t xml:space="preserve">Inventario de tablas Silver del subcaso</x:t>
  </x:si>
  <x:si>
    <x:t xml:space="preserve">S02 Mapa Silver</x:t>
  </x:si>
  <x:si>
    <x:t xml:space="preserve">Sesión 02 · hito</x:t>
  </x:si>
  <x:si>
    <x:t xml:space="preserve">Mapa Silver y arquitectura</x:t>
  </x:si>
  <x:si>
    <x:t xml:space="preserve">S03 Linaje</x:t>
  </x:si>
  <x:si>
    <x:t xml:space="preserve">Sesión 03 · hito</x:t>
  </x:si>
  <x:si>
    <x:t xml:space="preserve">Linaje y lista de excepciones</x:t>
  </x:si>
  <x:si>
    <x:t xml:space="preserve">S04 Antes-después</x:t>
  </x:si>
  <x:si>
    <x:t xml:space="preserve">Sesión 04 · hito</x:t>
  </x:si>
  <x:si>
    <x:t xml:space="preserve">Ficha antes/después de limpieza</x:t>
  </x:si>
  <x:si>
    <x:t xml:space="preserve">S05-S06 Modelo</x:t>
  </x:si>
  <x:si>
    <x:t xml:space="preserve">Sesiones 05–06 · hito</x:t>
  </x:si>
  <x:si>
    <x:t xml:space="preserve">Minuta del pipeline y del modelo</x:t>
  </x:si>
  <x:si>
    <x:t xml:space="preserve">S07 KPI</x:t>
  </x:si>
  <x:si>
    <x:t xml:space="preserve">Sesión 07 · hito</x:t>
  </x:si>
  <x:si>
    <x:t xml:space="preserve">KPI del subcaso validados</x:t>
  </x:si>
  <x:si>
    <x:t xml:space="preserve">S10 Supuestos</x:t>
  </x:si>
  <x:si>
    <x:t xml:space="preserve">Sesión 10 · hito</x:t>
  </x:si>
  <x:si>
    <x:t xml:space="preserve">Ficha de supuestos del escenario</x:t>
  </x:si>
  <x:si>
    <x:t xml:space="preserve">S11 Pruebas RLS</x:t>
  </x:si>
  <x:si>
    <x:t xml:space="preserve">Sesión 11 · hito</x:t>
  </x:si>
  <x:si>
    <x:t xml:space="preserve">Matriz de pruebas de seguridad por filas</x:t>
  </x:si>
  <x:si>
    <x:t xml:space="preserve">S12 Mejoras</x:t>
  </x:si>
  <x:si>
    <x:t xml:space="preserve">Sesión 12 · PreEntrega</x:t>
  </x:si>
  <x:si>
    <x:t xml:space="preserve">Lista de mejoras para la Sesión 13</x:t>
  </x:si>
  <x:si>
    <x:t xml:space="preserve">Todo el libro es del equipo. La ficha de configuración de Power BI de la Sesión 02 es individual y va en su propio archivo (GIAD-M4-S02_Ficha_Configuracion_Power_BI.xlsx).</x:t>
  </x:si>
  <x:si>
    <x:t xml:space="preserve">SESIONES 01–13 · HILO DEL MÓDULO</x:t>
  </x:si>
  <x:si>
    <x:t xml:space="preserve">Fichas de KPI del subcaso</x:t>
  </x:si>
  <x:si>
    <x:t xml:space="preserve">De 5 a 8 KPI por equipo. Cada columna indica la sesión en la que se completa; al final del módulo la ficha queda completa y es la entrada del Módulo 5 (mapa estratégico, POA, OKR, presupuesto y tablero de gestión). La fila gris es el ejemplo de Acería Andina. Las columnas azules se calculan solas. El bloque C se llena como propuesta: el Módulo 5 lo valida.</x:t>
  </x:si>
  <x:si>
    <x:t xml:space="preserve">Equipo:</x:t>
  </x:si>
  <x:si>
    <x:t xml:space="preserve">Grupo 06</x:t>
  </x:si>
  <x:si>
    <x:t xml:space="preserve">Subcaso:</x:t>
  </x:si>
  <x:si>
    <x:t xml:space="preserve">03B</x:t>
  </x:si>
  <x:si>
    <x:t xml:space="preserve">Fecha:</x:t>
  </x:si>
  <x:si>
    <x:t xml:space="preserve">2026-10-20</x:t>
  </x:si>
  <x:si>
    <x:t xml:space="preserve">A · DEFINICIÓN  (S01–S07)</x:t>
  </x:si>
  <x:si>
    <x:t xml:space="preserve">B · CONTROL  (S07–S11)</x:t>
  </x:si>
  <x:si>
    <x:t xml:space="preserve">C · ENLACE ESTRATÉGICO  (propuesta para el Módulo 5)</x:t>
  </x:si>
  <x:si>
    <x:t xml:space="preserve">KPI
(S01)</x:t>
  </x:si>
  <x:si>
    <x:t xml:space="preserve">Decisión que apoya (pregunta)
(S01)</x:t>
  </x:si>
  <x:si>
    <x:t xml:space="preserve">Nivel de decisión
(S02)</x:t>
  </x:si>
  <x:si>
    <x:t xml:space="preserve">Fórmula en palabras
(S02)</x:t>
  </x:si>
  <x:si>
    <x:t xml:space="preserve">Unidad
(S02)</x:t>
  </x:si>
  <x:si>
    <x:t xml:space="preserve">Tabla(s) fuente
(S03)</x:t>
  </x:si>
  <x:si>
    <x:t xml:space="preserve">Regla de calidad que lo protege
(S04)</x:t>
  </x:si>
  <x:si>
    <x:t xml:space="preserve">Grano (una fila es…)
(S06)</x:t>
  </x:si>
  <x:si>
    <x:t xml:space="preserve">Dimensiones de análisis
(S06)</x:t>
  </x:si>
  <x:si>
    <x:t xml:space="preserve">Medida DAX
(S07)</x:t>
  </x:si>
  <x:si>
    <x:t xml:space="preserve">Frecuencia de revisión
(S07)</x:t>
  </x:si>
  <x:si>
    <x:t xml:space="preserve">Línea base (valor)
(S07)</x:t>
  </x:si>
  <x:si>
    <x:t xml:space="preserve">Periodo / contexto de la línea base
(S07)</x:t>
  </x:si>
  <x:si>
    <x:t xml:space="preserve">Polaridad
(S08)</x:t>
  </x:si>
  <x:si>
    <x:t xml:space="preserve">Meta
(S08)</x:t>
  </x:si>
  <x:si>
    <x:t xml:space="preserve">Justificación de la meta
(S08)</x:t>
  </x:si>
  <x:si>
    <x:t xml:space="preserve">Umbral verde
(S08)</x:t>
  </x:si>
  <x:si>
    <x:t xml:space="preserve">Umbral rojo
(S08)</x:t>
  </x:si>
  <x:si>
    <x:t xml:space="preserve">Estado de la línea base
(automático)</x:t>
  </x:si>
  <x:si>
    <x:t xml:space="preserve">Responsable (rol)
(S11)</x:t>
  </x:si>
  <x:si>
    <x:t xml:space="preserve">Acción si está en rojo
(S11)</x:t>
  </x:si>
  <x:si>
    <x:t xml:space="preserve">Quién lo ve (rol / RLS)
(S11)</x:t>
  </x:si>
  <x:si>
    <x:t xml:space="preserve">Perspectiva sugerida
(S11)</x:t>
  </x:si>
  <x:si>
    <x:t xml:space="preserve">Tipo: resultado o impulsor
(S09)</x:t>
  </x:si>
  <x:si>
    <x:t xml:space="preserve">KPI relacionados (causa → efecto)
(S09)</x:t>
  </x:si>
  <x:si>
    <x:t xml:space="preserve">Impacto económico por unidad de mejora
(S10)</x:t>
  </x:si>
  <x:si>
    <x:t xml:space="preserve">% completo
(automático)</x:t>
  </x:si>
  <x:si>
    <x:t xml:space="preserve">% de viajes con desviación</x:t>
  </x:si>
  <x:si>
    <x:t xml:space="preserve">¿Qué proporción de viajes tiene al menos una lectura marcada? Apoya la priorización de controles por producto y camión.</x:t>
  </x:si>
  <x:si>
    <x:t xml:space="preserve">Táctico</x:t>
  </x:si>
  <x:si>
    <x:t xml:space="preserve">Viajes con al menos una lectura marcada dividido entre viajes observados, multiplicado por 100.</x:t>
  </x:si>
  <x:si>
    <x:t xml:space="preserve">Porcentaje</x:t>
  </x:si>
  <x:si>
    <x:t xml:space="preserve">% de lecturas con desviación</x:t>
  </x:si>
  <x:si>
    <x:t xml:space="preserve">¿Qué proporción de lecturas queda marcada? Apoya la lectura de intensidad aparente y la comparación entre productos o camiones.</x:t>
  </x:si>
  <x:si>
    <x:t xml:space="preserve">Lecturas marcadas dividido entre lecturas observadas, multiplicado por 100.</x:t>
  </x:si>
  <x:si>
    <x:t xml:space="preserve">Merma por cantidades</x:t>
  </x:si>
  <x:si>
    <x:t xml:space="preserve">¿Cuánta cantidad se pierde? Apoya la revisión de lotes y centros con peor desempeño.</x:t>
  </x:si>
  <x:si>
    <x:t xml:space="preserve">Suma de cantidad_merma dividida entre suma de cantidad_ingreso, multiplicada por 100.</x:t>
  </x:si>
  <x:si>
    <x:t xml:space="preserve">% de lotes salidos vencidos</x:t>
  </x:si>
  <x:si>
    <x:t xml:space="preserve">¿Qué proporción de lotes sale vencida? Apoya la revisión de gestión de lotes y centros.</x:t>
  </x:si>
  <x:si>
    <x:t xml:space="preserve">Lotes con salida posterior al día de vencimiento divididos entre lotes salidos, multiplicado por 100.</x:t>
  </x:si>
  <x:si>
    <x:t xml:space="preserve">Días promedio en almacén</x:t>
  </x:si>
  <x:si>
    <x:t xml:space="preserve">¿Cuánto permanece un lote antes de salir? Apoya la revisión de permanencia histórica por centro o producto.</x:t>
  </x:si>
  <x:si>
    <x:t xml:space="preserve">Promedio de dias_en_almacen de los lotes con salida.</x:t>
  </x:si>
  <x:si>
    <x:t xml:space="preserve">Días</x:t>
  </x:si>
  <x:si>
    <x:t xml:space="preserve">Polaridad: «Más es mejor» exige umbral verde mayor que el rojo (OEE, OTIF); «Menos es mejor», al revés (MTTR, % scrap, churn).</x:t>
  </x:si>
  <x:si>
    <x:t xml:space="preserve">Estado: compara la línea base con los umbrales. Amarillo = entre ambos umbrales: seguimiento, todavía no intervención.</x:t>
  </x:si>
  <x:si>
    <x:t xml:space="preserve">Diferencia con un OKR (Módulo 5): el KPI se mide siempre; un resultado clave es una meta de cambio con plazo sobre un KPI (por ejemplo, OEE de 77,7 % a 80 % este trimestre).</x:t>
  </x:si>
  <x:si>
    <x:t xml:space="preserve">REFERENCIA</x:t>
  </x:si>
  <x:si>
    <x:t xml:space="preserve">Qué va en cada campo de la ficha de KPI</x:t>
  </x:si>
  <x:si>
    <x:t xml:space="preserve">Nueve pasos de diseño, agrupados en tres bloques. Use esta hoja para completar la hoja Fichas KPI. La última columna explica para qué usa el Módulo 5 cada campo.</x:t>
  </x:si>
  <x:si>
    <x:t xml:space="preserve">Paso</x:t>
  </x:si>
  <x:si>
    <x:t xml:space="preserve">Campo de la ficha</x:t>
  </x:si>
  <x:si>
    <x:t xml:space="preserve">Pregunta que responde</x:t>
  </x:si>
  <x:si>
    <x:t xml:space="preserve">Sesión</x:t>
  </x:si>
  <x:si>
    <x:t xml:space="preserve">Ejemplo con el OEE de Acería Andina</x:t>
  </x:si>
  <x:si>
    <x:t xml:space="preserve">Para qué lo usa el Módulo 5</x:t>
  </x:si>
  <x:si>
    <x:t xml:space="preserve">A · DEFINICIÓN</x:t>
  </x:si>
  <x:si>
    <x:t xml:space="preserve">1</x:t>
  </x:si>
  <x:si>
    <x:t xml:space="preserve">KPI y decisión que apoya</x:t>
  </x:si>
  <x:si>
    <x:t xml:space="preserve">¿Qué decisión cambia según el valor de este número? Si ninguna, es una métrica, no un KPI.</x:t>
  </x:si>
  <x:si>
    <x:t xml:space="preserve">S01</x:t>
  </x:si>
  <x:si>
    <x:t xml:space="preserve">¿En qué activo y turno se pierde capacidad y qué pilar intervenir primero?</x:t>
  </x:si>
  <x:si>
    <x:t xml:space="preserve">Ubicar el KPI bajo un objetivo del mapa estratégico.</x:t>
  </x:si>
  <x:si>
    <x:t xml:space="preserve">Nivel de decisión</x:t>
  </x:si>
  <x:si>
    <x:t xml:space="preserve">¿Lo usa la gerencia (estratégico), el jefe de área (táctico) o el turno (operativo)?</x:t>
  </x:si>
  <x:si>
    <x:t xml:space="preserve">S02</x:t>
  </x:si>
  <x:si>
    <x:t xml:space="preserve">Separar KPI del mapa estratégico de los del tablero operativo.</x:t>
  </x:si>
  <x:si>
    <x:t xml:space="preserve">2</x:t>
  </x:si>
  <x:si>
    <x:t xml:space="preserve">Fórmula en palabras y unidad</x:t>
  </x:si>
  <x:si>
    <x:t xml:space="preserve">¿Cómo se calcula, sin ambigüedad, y en qué unidad se expresa?</x:t>
  </x:si>
  <x:si>
    <x:t xml:space="preserve">Disponibilidad × Rendimiento × Calidad, en %</x:t>
  </x:si>
  <x:si>
    <x:t xml:space="preserve">Una sola definición para toda la organización.</x:t>
  </x:si>
  <x:si>
    <x:t xml:space="preserve">3</x:t>
  </x:si>
  <x:si>
    <x:t xml:space="preserve">Tabla(s) fuente</x:t>
  </x:si>
  <x:si>
    <x:t xml:space="preserve">¿De qué tablas sale y cuál es la fuente oficial si hay dos?</x:t>
  </x:si>
  <x:si>
    <x:t xml:space="preserve">S03</x:t>
  </x:si>
  <x:si>
    <x:t xml:space="preserve">fact_produccion_turno, dim_activo, dim_turno, dim_fecha</x:t>
  </x:si>
  <x:si>
    <x:t xml:space="preserve">Saber qué sistema hay que mantener (roadmap tecnológico).</x:t>
  </x:si>
  <x:si>
    <x:t xml:space="preserve">Regla de calidad</x:t>
  </x:si>
  <x:si>
    <x:t xml:space="preserve">¿Qué regla impide que un dato malo mueva el KPI?</x:t>
  </x:si>
  <x:si>
    <x:t xml:space="preserve">S04</x:t>
  </x:si>
  <x:si>
    <x:t xml:space="preserve">Paradas &gt; 480 min se corrigen; filas vacías se excluyen</x:t>
  </x:si>
  <x:si>
    <x:t xml:space="preserve">Confiar en el número que se reporta en el control de gestión.</x:t>
  </x:si>
  <x:si>
    <x:t xml:space="preserve">4</x:t>
  </x:si>
  <x:si>
    <x:t xml:space="preserve">Grano y dimensiones</x:t>
  </x:si>
  <x:si>
    <x:t xml:space="preserve">¿Qué representa una fila y por qué cortes se analiza?</x:t>
  </x:si>
  <x:si>
    <x:t xml:space="preserve">S06</x:t>
  </x:si>
  <x:si>
    <x:t xml:space="preserve">Activo × turno × día; por activo, área, turno y fecha</x:t>
  </x:si>
  <x:si>
    <x:t xml:space="preserve">Desplegar metas por área, línea o zona (POA).</x:t>
  </x:si>
  <x:si>
    <x:t xml:space="preserve">Medida DAX y frecuencia</x:t>
  </x:si>
  <x:si>
    <x:t xml:space="preserve">¿Qué medida lo calcula y cada cuánto se revisa?</x:t>
  </x:si>
  <x:si>
    <x:t xml:space="preserve">S07</x:t>
  </x:si>
  <x:si>
    <x:t xml:space="preserve">[OEE]; por turno, revisión diaria</x:t>
  </x:si>
  <x:si>
    <x:t xml:space="preserve">Fijar la cadencia de revisión del tablero de gestión.</x:t>
  </x:si>
  <x:si>
    <x:t xml:space="preserve">B · CONTROL</x:t>
  </x:si>
  <x:si>
    <x:t xml:space="preserve">5</x:t>
  </x:si>
  <x:si>
    <x:t xml:space="preserve">Línea base</x:t>
  </x:si>
  <x:si>
    <x:t xml:space="preserve">¿Cuánto vale hoy, en qué periodo y contexto?</x:t>
  </x:si>
  <x:si>
    <x:t xml:space="preserve">77,7 % (COMP-04, turno B, 06/10/2026)</x:t>
  </x:si>
  <x:si>
    <x:t xml:space="preserve">Punto de partida de toda meta del POA y de todo OKR.</x:t>
  </x:si>
  <x:si>
    <x:t xml:space="preserve">6</x:t>
  </x:si>
  <x:si>
    <x:t xml:space="preserve">Polaridad, meta y justificación</x:t>
  </x:si>
  <x:si>
    <x:t xml:space="preserve">¿Más es mejor o menos es mejor? ¿Qué valor se busca y por qué ese?</x:t>
  </x:si>
  <x:si>
    <x:t xml:space="preserve">S08</x:t>
  </x:si>
  <x:si>
    <x:t xml:space="preserve">Más es mejor; 85 %, referencia de clase mundial</x:t>
  </x:si>
  <x:si>
    <x:t xml:space="preserve">Meta anual del POA; la gerencia la confirma o ajusta.</x:t>
  </x:si>
  <x:si>
    <x:t xml:space="preserve">Umbrales verde y rojo</x:t>
  </x:si>
  <x:si>
    <x:t xml:space="preserve">¿Desde qué valor está bien y desde cuál hay que intervenir?</x:t>
  </x:si>
  <x:si>
    <x:t xml:space="preserve">Verde ≥ 85 %, rojo &lt; 75 %; 77,7 % queda en amarillo</x:t>
  </x:si>
  <x:si>
    <x:t xml:space="preserve">Semáforo del tablero de gestión.</x:t>
  </x:si>
  <x:si>
    <x:t xml:space="preserve">7</x:t>
  </x:si>
  <x:si>
    <x:t xml:space="preserve">Responsable y acción</x:t>
  </x:si>
  <x:si>
    <x:t xml:space="preserve">¿Quién responde por el número y qué hace si se pone en rojo?</x:t>
  </x:si>
  <x:si>
    <x:t xml:space="preserve">S11</x:t>
  </x:si>
  <x:si>
    <x:t xml:space="preserve">Jefe de área de Laminación; revisar paradas y abrir análisis de causa</x:t>
  </x:si>
  <x:si>
    <x:t xml:space="preserve">Asignar dueños de objetivos y de resultados clave.</x:t>
  </x:si>
  <x:si>
    <x:t xml:space="preserve">Quién lo ve</x:t>
  </x:si>
  <x:si>
    <x:t xml:space="preserve">¿Qué roles pueden ver el KPI y con qué filtro?</x:t>
  </x:si>
  <x:si>
    <x:t xml:space="preserve">Gerencia: todo · jefe de área: su área · supervisor: su activo y turno (RLS)</x:t>
  </x:si>
  <x:si>
    <x:t xml:space="preserve">Distribuir el tablero de gestión por nivel.</x:t>
  </x:si>
  <x:si>
    <x:t xml:space="preserve">C · ENLACE ESTRATÉGICO (propuesta)</x:t>
  </x:si>
  <x:si>
    <x:t xml:space="preserve">8</x:t>
  </x:si>
  <x:si>
    <x:t xml:space="preserve">Tipo y KPI relacionados</x:t>
  </x:si>
  <x:si>
    <x:t xml:space="preserve">¿Es un resultado o un impulsor? ¿Qué KPI lo mueven y a cuál mueve él?</x:t>
  </x:si>
  <x:si>
    <x:t xml:space="preserve">S09</x:t>
  </x:si>
  <x:si>
    <x:t xml:space="preserve">Resultado; lo mueven Disponibilidad y scrap; mueve el costo por tonelada</x:t>
  </x:si>
  <x:si>
    <x:t xml:space="preserve">Dibujar las relaciones causa-efecto del mapa estratégico.</x:t>
  </x:si>
  <x:si>
    <x:t xml:space="preserve">Perspectiva sugerida</x:t>
  </x:si>
  <x:si>
    <x:t xml:space="preserve">¿Financiera, clientes, procesos internos o aprendizaje y crecimiento?</x:t>
  </x:si>
  <x:si>
    <x:t xml:space="preserve">Procesos internos</x:t>
  </x:si>
  <x:si>
    <x:t xml:space="preserve">Ubicar el KPI en una perspectiva del mapa estratégico.</x:t>
  </x:si>
  <x:si>
    <x:t xml:space="preserve">9</x:t>
  </x:si>
  <x:si>
    <x:t xml:space="preserve">Impacto económico</x:t>
  </x:si>
  <x:si>
    <x:t xml:space="preserve">¿Cuánto dinero vale mejorar una unidad del KPI?</x:t>
  </x:si>
  <x:si>
    <x:t xml:space="preserve">S10</x:t>
  </x:si>
  <x:si>
    <x:t xml:space="preserve">1 pp de scrap ≈ $5.400 por año</x:t>
  </x:si>
  <x:si>
    <x:t xml:space="preserve">Justificar el presupuesto de cada iniciativa.</x:t>
  </x:si>
  <x:si>
    <x:t xml:space="preserve">SESIÓN 01 · PREPARACIÓN</x:t>
  </x:si>
  <x:si>
    <x:t xml:space="preserve">Una fila por tabla que recibe el equipo. Cargue cada tabla en Power BI y anote lo que ve antes de usarla.</x:t>
  </x:si>
  <x:si>
    <x:t xml:space="preserve">Tabla / archivo</x:t>
  </x:si>
  <x:si>
    <x:t xml:space="preserve">Qué representa una fila</x:t>
  </x:si>
  <x:si>
    <x:t xml:space="preserve">Columnas clave</x:t>
  </x:si>
  <x:si>
    <x:t xml:space="preserve">Filas</x:t>
  </x:si>
  <x:si>
    <x:t xml:space="preserve">Columnas</x:t>
  </x:si>
  <x:si>
    <x:t xml:space="preserve">Brecha observada</x:t>
  </x:si>
  <x:si>
    <x:t xml:space="preserve">Responsable de revisarla</x:t>
  </x:si>
  <x:si>
    <x:t xml:space="preserve">andinalog_iot_telemetry_silver.csv</x:t>
  </x:si>
  <x:si>
    <x:t xml:space="preserve">Una lectura dentro de un viaje.</x:t>
  </x:si>
  <x:si>
    <x:t xml:space="preserve">viaje_id + minutos_desde_despacho; también viaje_id + timestamp.</x:t>
  </x:si>
  <x:si>
    <x:t xml:space="preserve">Excepción demostrada: 26 lecturas en límites térmicos; 14 órdenes o viajes con 339 lecturas en dos particiones y 43 positivas. Se registran y no se corrigen en S01.</x:t>
  </x:si>
  <x:si>
    <x:t xml:space="preserve">andinalog_productos_silver.csv</x:t>
  </x:si>
  <x:si>
    <x:t xml:space="preserve">Un producto.</x:t>
  </x:si>
  <x:si>
    <x:t xml:space="preserve">producto_id.</x:t>
  </x:si>
  <x:si>
    <x:t xml:space="preserve">Sin brecha observada. Diferencia de cobertura: 70 de 120 productos aparecen en telemetría; no es error de calidad.</x:t>
  </x:si>
  <x:si>
    <x:t xml:space="preserve">andinalog_flota_silver.csv</x:t>
  </x:si>
  <x:si>
    <x:t xml:space="preserve">Un camión.</x:t>
  </x:si>
  <x:si>
    <x:t xml:space="preserve">camion_id.</x:t>
  </x:si>
  <x:si>
    <x:t xml:space="preserve">Sin brecha observada. Diferencia de definición: el centro base no equivale necesariamente al centro operativo; decisión de modelado pendiente.</x:t>
  </x:si>
  <x:si>
    <x:t xml:space="preserve">andinalog_inventory_tracking_silver.csv</x:t>
  </x:si>
  <x:si>
    <x:t xml:space="preserve">Un lote con ingreso, salida y merma.</x:t>
  </x:si>
  <x:si>
    <x:t xml:space="preserve">lote_id; movimiento_id.</x:t>
  </x:si>
  <x:si>
    <x:t xml:space="preserve">Sin brecha observada. Limitación de alcance: todos los lotes ya salieron; no hay stock vigente en esta entrega.</x:t>
  </x:si>
  <x:si>
    <x:t xml:space="preserve">andinalog_warehouse_costs_silver.csv</x:t>
  </x:si>
  <x:si>
    <x:t xml:space="preserve">Un centro en un mes.</x:t>
  </x:si>
  <x:si>
    <x:t xml:space="preserve">centro_distribucion + periodo_mes.</x:t>
  </x:si>
  <x:si>
    <x:t xml:space="preserve">Sin brecha observada. Decisión de modelado: relación temporal con el calendario pendiente; no es error de calidad.</x:t>
  </x:si>
  <x:si>
    <x:t xml:space="preserve">SESIÓN 02 · HITO</x:t>
  </x:si>
  <x:si>
    <x:t xml:space="preserve">Una fila por tabla. Parta de la brecha DCAM priorizada: el control debe responder a ella.</x:t>
  </x:si>
  <x:si>
    <x:t xml:space="preserve">2026-10-27</x:t>
  </x:si>
  <x:si>
    <x:t xml:space="preserve">Archivo / tabla</x:t>
  </x:si>
  <x:si>
    <x:t xml:space="preserve">Granularidad</x:t>
  </x:si>
  <x:si>
    <x:t xml:space="preserve">Identificador único</x:t>
  </x:si>
  <x:si>
    <x:t xml:space="preserve">Frecuencia</x:t>
  </x:si>
  <x:si>
    <x:t xml:space="preserve">Propietario</x:t>
  </x:si>
  <x:si>
    <x:t xml:space="preserve">Riesgo</x:t>
  </x:si>
  <x:si>
    <x:t xml:space="preserve">Control propuesto</x:t>
  </x:si>
  <x:si>
    <x:t xml:space="preserve">Una lectura dentro de un viaje</x:t>
  </x:si>
  <x:si>
    <x:t xml:space="preserve">viaje_id + minutos_desde_despacho</x:t>
  </x:si>
  <x:si>
    <x:t xml:space="preserve">Observación cada 30 min; actualización por acordar</x:t>
  </x:si>
  <x:si>
    <x:t xml:space="preserve">Por acordar; revisión Grupo 06</x:t>
  </x:si>
  <x:si>
    <x:t xml:space="preserve">Interpretar el centro del camión como centro real del viaje</x:t>
  </x:si>
  <x:si>
    <x:t xml:space="preserve">Documentar el límite y no usar el centro base como ruta; control de clave compuesta</x:t>
  </x:si>
  <x:si>
    <x:t xml:space="preserve">Un producto</x:t>
  </x:si>
  <x:si>
    <x:t xml:space="preserve">producto_id</x:t>
  </x:si>
  <x:si>
    <x:t xml:space="preserve">Catálogo; actualización por acordar</x:t>
  </x:si>
  <x:si>
    <x:t xml:space="preserve">Extrapolar KPI térmicos a todo el catálogo</x:t>
  </x:si>
  <x:si>
    <x:t xml:space="preserve">Registrar cobertura 70 de 120 en telemetría</x:t>
  </x:si>
  <x:si>
    <x:t xml:space="preserve">Un camión</x:t>
  </x:si>
  <x:si>
    <x:t xml:space="preserve">camion_id</x:t>
  </x:si>
  <x:si>
    <x:t xml:space="preserve">Usar centro_distribucion_base como centro operativo</x:t>
  </x:si>
  <x:si>
    <x:t xml:space="preserve">Mantener la distinción base/operativo y registrarla como pendiente</x:t>
  </x:si>
  <x:si>
    <x:t xml:space="preserve">Un lote con ingreso, salida y merma en esta entrega</x:t>
  </x:si>
  <x:si>
    <x:t xml:space="preserve">lote_id; movimiento_id único en esta entrega</x:t>
  </x:si>
  <x:si>
    <x:t xml:space="preserve">Sin periodicidad fija: una fila por lote contiene las fechas de ingreso y salida; actualización por acordar</x:t>
  </x:si>
  <x:si>
    <x:t xml:space="preserve">Leer vencimiento como stock vigente</x:t>
  </x:si>
  <x:si>
    <x:t xml:space="preserve">Declarar que todos los lotes salieron; KPI históricos</x:t>
  </x:si>
  <x:si>
    <x:t xml:space="preserve">Un centro en un mes</x:t>
  </x:si>
  <x:si>
    <x:t xml:space="preserve">centro_distribucion + periodo_mes</x:t>
  </x:si>
  <x:si>
    <x:t xml:space="preserve">Mensual; actualización por acordar</x:t>
  </x:si>
  <x:si>
    <x:t xml:space="preserve">Asignar costos a productos sin regla</x:t>
  </x:si>
  <x:si>
    <x:t xml:space="preserve">No asignar; relación temporal en S06</x:t>
  </x:si>
  <x:si>
    <x:t xml:space="preserve">SESIÓN 03 · HITO</x:t>
  </x:si>
  <x:si>
    <x:t xml:space="preserve">Una fila por fuente conectada. Perfil de columnas sobre todo el conjunto de datos.</x:t>
  </x:si>
  <x:si>
    <x:t xml:space="preserve">Fuente</x:t>
  </x:si>
  <x:si>
    <x:t xml:space="preserve">Conector</x:t>
  </x:si>
  <x:si>
    <x:t xml:space="preserve">Parámetro de ruta</x:t>
  </x:si>
  <x:si>
    <x:t xml:space="preserve">Nivel de privacidad</x:t>
  </x:si>
  <x:si>
    <x:t xml:space="preserve">Excepción encontrada</x:t>
  </x:si>
  <x:si>
    <x:t xml:space="preserve">Regla propuesta para S04</x:t>
  </x:si>
  <x:si>
    <x:t xml:space="preserve">SESIÓN 04 · HITO</x:t>
  </x:si>
  <x:si>
    <x:t xml:space="preserve">Una fila por regla aplicada. Marcar es mejor que borrar cuando no hay certeza.</x:t>
  </x:si>
  <x:si>
    <x:t xml:space="preserve">Regla</x:t>
  </x:si>
  <x:si>
    <x:t xml:space="preserve">Paso de Power Query (nombre)</x:t>
  </x:si>
  <x:si>
    <x:t xml:space="preserve">Filas antes</x:t>
  </x:si>
  <x:si>
    <x:t xml:space="preserve">Filas afectadas</x:t>
  </x:si>
  <x:si>
    <x:t xml:space="preserve">Filas después</x:t>
  </x:si>
  <x:si>
    <x:t xml:space="preserve">Decisión</x:t>
  </x:si>
  <x:si>
    <x:t xml:space="preserve">Limitación que queda</x:t>
  </x:si>
  <x:si>
    <x:t xml:space="preserve">Quitar duplicados exactos</x:t>
  </x:si>
  <x:si>
    <x:t xml:space="preserve">QuitarDuplicados</x:t>
  </x:si>
  <x:si>
    <x:t xml:space="preserve">Excluir</x:t>
  </x:si>
  <x:si>
    <x:t xml:space="preserve">Clave de negocio: fecha + turno + activo</x:t>
  </x:si>
  <x:si>
    <x:t xml:space="preserve">SESIONES 05–06 · HITO</x:t>
  </x:si>
  <x:si>
    <x:t xml:space="preserve">Una fila por tabla del modelo. La prueba demuestra que el filtro llega o que el total se conserva.</x:t>
  </x:si>
  <x:si>
    <x:t xml:space="preserve">Tabla</x:t>
  </x:si>
  <x:si>
    <x:t xml:space="preserve">Tipo</x:t>
  </x:si>
  <x:si>
    <x:t xml:space="preserve">Grano (qué es una fila)</x:t>
  </x:si>
  <x:si>
    <x:t xml:space="preserve">Clave</x:t>
  </x:si>
  <x:si>
    <x:t xml:space="preserve">Se relaciona con</x:t>
  </x:si>
  <x:si>
    <x:t xml:space="preserve">Cardinalidad</x:t>
  </x:si>
  <x:si>
    <x:t xml:space="preserve">Dirección</x:t>
  </x:si>
  <x:si>
    <x:t xml:space="preserve">Prueba y resultado</x:t>
  </x:si>
  <x:si>
    <x:t xml:space="preserve">fact_produccion_turno</x:t>
  </x:si>
  <x:si>
    <x:t xml:space="preserve">Hecho</x:t>
  </x:si>
  <x:si>
    <x:t xml:space="preserve">Un turno de un activo en un día</x:t>
  </x:si>
  <x:si>
    <x:t xml:space="preserve">fecha+turno+id_activo</x:t>
  </x:si>
  <x:si>
    <x:t xml:space="preserve">dim_activo</x:t>
  </x:si>
  <x:si>
    <x:t xml:space="preserve">Varios a uno</x:t>
  </x:si>
  <x:si>
    <x:t xml:space="preserve">Única</x:t>
  </x:si>
  <x:si>
    <x:t xml:space="preserve">Toneladas por área suman 483.857,58 t</x:t>
  </x:si>
  <x:si>
    <x:t xml:space="preserve">SESIÓN 07 · HITO</x:t>
  </x:si>
  <x:si>
    <x:t xml:space="preserve">Tres KPI como mínimo. El cálculo manual se hace sobre una fila o periodo conocido. La columna Coincide se calcula sola. Cada KPI validado aquí debe tener su fila en la hoja Fichas KPI.</x:t>
  </x:si>
  <x:si>
    <x:t xml:space="preserve">KPI</x:t>
  </x:si>
  <x:si>
    <x:t xml:space="preserve">Medida DAX (nombre)</x:t>
  </x:si>
  <x:si>
    <x:t xml:space="preserve">Contexto de prueba</x:t>
  </x:si>
  <x:si>
    <x:t xml:space="preserve">Cálculo manual</x:t>
  </x:si>
  <x:si>
    <x:t xml:space="preserve">Valor en Power BI</x:t>
  </x:si>
  <x:si>
    <x:t xml:space="preserve">¿Coincide?</x:t>
  </x:si>
  <x:si>
    <x:t xml:space="preserve">Si no coincide: dónde se separa</x:t>
  </x:si>
  <x:si>
    <x:t xml:space="preserve">OEE</x:t>
  </x:si>
  <x:si>
    <x:t xml:space="preserve">COMP-04 · turno B · 06/10/2026</x:t>
  </x:si>
  <x:si>
    <x:t xml:space="preserve">SESIÓN 10 · HITO</x:t>
  </x:si>
  <x:si>
    <x:t xml:space="preserve">Una fila por parámetro What-if. El rango debe ser físicamente posible y tener fuente.</x:t>
  </x:si>
  <x:si>
    <x:t xml:space="preserve">Variable</x:t>
  </x:si>
  <x:si>
    <x:t xml:space="preserve">Fuente del valor</x:t>
  </x:si>
  <x:si>
    <x:t xml:space="preserve">Unidad</x:t>
  </x:si>
  <x:si>
    <x:t xml:space="preserve">Mínimo</x:t>
  </x:si>
  <x:si>
    <x:t xml:space="preserve">Centro</x:t>
  </x:si>
  <x:si>
    <x:t xml:space="preserve">Máximo</x:t>
  </x:si>
  <x:si>
    <x:t xml:space="preserve">Qué se mantiene constante</x:t>
  </x:si>
  <x:si>
    <x:t xml:space="preserve">Resultado mín / centro / máx</x:t>
  </x:si>
  <x:si>
    <x:t xml:space="preserve">Calidad</x:t>
  </x:si>
  <x:si>
    <x:t xml:space="preserve">Observada 2026 (dataset)</x:t>
  </x:si>
  <x:si>
    <x:t xml:space="preserve">%</x:t>
  </x:si>
  <x:si>
    <x:t xml:space="preserve">Disponibilidad y rendimiento</x:t>
  </x:si>
  <x:si>
    <x:t xml:space="preserve">77,7 % / 78,5 % / 79,3 %</x:t>
  </x:si>
  <x:si>
    <x:t xml:space="preserve">SESIÓN 11 · HITO</x:t>
  </x:si>
  <x:si>
    <x:t xml:space="preserve">Una fila por prueba con Ver como rol. Incluya siempre una prueba negativa y un usuario sin mapeo. El resultado se calcula solo.</x:t>
  </x:si>
  <x:si>
    <x:t xml:space="preserve">Usuario (correo)</x:t>
  </x:si>
  <x:si>
    <x:t xml:space="preserve">Rol</x:t>
  </x:si>
  <x:si>
    <x:t xml:space="preserve">Qué debería ver</x:t>
  </x:si>
  <x:si>
    <x:t xml:space="preserve">Filas esperadas</x:t>
  </x:si>
  <x:si>
    <x:t xml:space="preserve">Filas vistas</x:t>
  </x:si>
  <x:si>
    <x:t xml:space="preserve">Resultado</x:t>
  </x:si>
  <x:si>
    <x:t xml:space="preserve">Observación</x:t>
  </x:si>
  <x:si>
    <x:t xml:space="preserve">sloayza@aceria-andina.example</x:t>
  </x:si>
  <x:si>
    <x:t xml:space="preserve">Supervisor de turno</x:t>
  </x:si>
  <x:si>
    <x:t xml:space="preserve">Solo COMP-04, turno B</x:t>
  </x:si>
  <x:si>
    <x:t xml:space="preserve">SESIÓN 12 · PREENTREGA</x:t>
  </x:si>
  <x:si>
    <x:t xml:space="preserve">Entre 3 y 5 mejoras priorizadas por impacto en la decisión. En la Sesión 13 se presenta el estado de cada una (criterio 7 de la rúbrica).</x:t>
  </x:si>
  <x:si>
    <x:t xml:space="preserve">N.º</x:t>
  </x:si>
  <x:si>
    <x:t xml:space="preserve">Hallazgo (qué, dónde y por qué afecta la decisión)</x:t>
  </x:si>
  <x:si>
    <x:t xml:space="preserve">Criterio de la rúbrica</x:t>
  </x:si>
  <x:si>
    <x:t xml:space="preserve">Mejora concreta</x:t>
  </x:si>
  <x:si>
    <x:t xml:space="preserve">Responsable</x:t>
  </x:si>
  <x:si>
    <x:t xml:space="preserve">Evidencia que se mostrará</x:t>
  </x:si>
  <x:si>
    <x:t xml:space="preserve">Estado en S13</x:t>
  </x:si>
  <x:si>
    <x:t xml:space="preserve">La tarjeta de OEE no distingue observado y simulado</x:t>
  </x:si>
  <x:si>
    <x:t xml:space="preserve">4. Visualización</x:t>
  </x:si>
  <x:si>
    <x:t xml:space="preserve">Rotular «OEE observado» y «OEE escenario»</x:t>
  </x:si>
  <x:si>
    <x:t xml:space="preserve">Luis</x:t>
  </x:si>
  <x:si>
    <x:t xml:space="preserve">Captura antes/después</x:t>
  </x:si>
  <x:si>
    <x:t xml:space="preserve">Aplicada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</x:si>
</x:sst>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1">
    <x:font>
      <x:sz val="11"/>
      <x:color theme="1"/>
      <x:name val="Calibri"/>
      <x:family val="2"/>
    </x:font>
    <x:font>
      <x:b/>
      <x:sz val="16"/>
      <x:color rgb="FF1F3A5F"/>
      <x:name val="Cambria"/>
    </x:font>
    <x:font>
      <x:b/>
      <x:sz val="11"/>
      <x:color rgb="FFFFFFFF"/>
      <x:name val="Cambria"/>
    </x:font>
    <x:font>
      <x:u val="single"/>
      <x:sz val="11"/>
      <x:color rgb="FF0563C1"/>
      <x:name val="Cambria"/>
    </x:font>
    <x:font>
      <x:i/>
      <x:sz val="11"/>
      <x:color rgb="FF595959"/>
      <x:name val="Cambria"/>
    </x:font>
    <x:font>
      <x:b/>
      <x:sz val="9"/>
      <x:color rgb="FFE07A1F"/>
      <x:name val="Cambria"/>
    </x:font>
    <x:font>
      <x:b/>
      <x:sz val="14"/>
      <x:color rgb="FF1F3A5F"/>
      <x:name val="Cambria"/>
    </x:font>
    <x:font>
      <x:b/>
      <x:sz val="11"/>
      <x:name val="Cambria"/>
    </x:font>
    <x:font>
      <x:b/>
      <x:sz val="11"/>
      <x:color rgb="FF1F3A5F"/>
      <x:name val="Cambria"/>
    </x:font>
    <x:font>
      <x:b/>
      <x:sz val="11"/>
      <x:color rgb="FFC55A11"/>
      <x:name val="Cambria"/>
    </x:font>
    <x:font>
      <x:i/>
      <x:sz val="11"/>
      <x:color rgb="FF7F7F7F"/>
      <x:name val="Cambria"/>
    </x:font>
  </x:fonts>
  <x:fills count="7">
    <x:fill>
      <x:patternFill patternType="none"/>
    </x:fill>
    <x:fill>
      <x:patternFill patternType="gray125"/>
    </x:fill>
    <x:fill>
      <x:patternFill patternType="solid">
        <x:fgColor rgb="FF1F3A5F"/>
      </x:patternFill>
    </x:fill>
    <x:fill>
      <x:patternFill patternType="solid">
        <x:fgColor rgb="FFD9E1EA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EAF1F8"/>
      </x:patternFill>
    </x:fill>
  </x:fills>
  <x:borders count="4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  <x:border>
      <x:left/>
      <x:right/>
      <x:top style="thin">
        <x:color rgb="FFBFBFBF"/>
      </x:top>
      <x:bottom style="thin">
        <x:color rgb="FFBFBFBF"/>
      </x:bottom>
      <x:diagonal/>
    </x:border>
    <x:border>
      <x:left/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Font="1"/>
    <x:xf numFmtId="0" fontId="2" fillId="2" borderId="0" xfId="0" applyFont="1" applyFill="1"/>
    <x:xf numFmtId="0" fontId="3" fillId="0" borderId="0" xfId="0" applyFont="1"/>
    <x:xf numFmtId="0" fontId="4" fillId="0" borderId="0" xfId="0" applyFont="1"/>
    <x:xf numFmtId="0" fontId="5" fillId="0" borderId="0" xfId="0" applyFont="1"/>
    <x:xf numFmtId="0" fontId="6" fillId="0" borderId="0" xfId="0" applyFont="1"/>
    <x:xf numFmtId="0" fontId="7" fillId="0" borderId="0" xfId="0" applyFont="1"/>
    <x:xf numFmtId="0" fontId="2" fillId="2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top" wrapText="1"/>
    </x:xf>
    <x:xf numFmtId="164" fontId="0" fillId="0" borderId="1" xfId="0" applyNumberFormat="1" applyBorder="1" applyAlignment="1">
      <x:alignment vertical="top" wrapText="1"/>
    </x:xf>
    <x:xf numFmtId="0" fontId="0" fillId="6" borderId="1" xfId="0" applyFill="1" applyBorder="1" applyAlignment="1">
      <x:alignment vertical="top" wrapText="1"/>
    </x:xf>
    <x:xf numFmtId="9" fontId="0" fillId="6" borderId="1" xfId="0" applyNumberFormat="1" applyFill="1" applyBorder="1" applyAlignment="1">
      <x:alignment vertical="top" wrapText="1"/>
    </x:xf>
    <x:xf numFmtId="0" fontId="0" fillId="0" borderId="1" xfId="0" applyBorder="1" applyAlignment="1">
      <x:alignment horizontal="center" vertical="top" wrapText="1"/>
    </x:xf>
    <x:xf numFmtId="0" fontId="0" fillId="0" borderId="1" xfId="0" applyBorder="1" applyAlignment="1">
      <x:alignment horizontal="left" vertical="top" wrapText="1"/>
    </x:xf>
    <x:xf numFmtId="0" fontId="10" fillId="5" borderId="1" xfId="0" applyFont="1" applyFill="1" applyBorder="1" applyAlignment="1">
      <x:alignment vertical="top" wrapText="1"/>
    </x:xf>
    <x:xf numFmtId="3" fontId="10" fillId="5" borderId="1" xfId="0" applyNumberFormat="1" applyFont="1" applyFill="1" applyBorder="1" applyAlignment="1">
      <x:alignment vertical="top" wrapText="1"/>
    </x:xf>
    <x:xf numFmtId="3" fontId="0" fillId="0" borderId="1" xfId="0" applyNumberFormat="1" applyBorder="1" applyAlignment="1">
      <x:alignment vertical="top" wrapText="1"/>
    </x:xf>
    <x:xf numFmtId="164" fontId="10" fillId="5" borderId="1" xfId="0" applyNumberFormat="1" applyFont="1" applyFill="1" applyBorder="1" applyAlignment="1">
      <x:alignment vertical="top" wrapText="1"/>
    </x:xf>
    <x:xf numFmtId="0" fontId="0" fillId="0" borderId="0" xfId="0" applyAlignment="1">
      <x:alignment vertical="top" wrapText="1"/>
    </x:xf>
    <x:xf numFmtId="0" fontId="0" fillId="0" borderId="0" xfId="0"/>
    <x:xf numFmtId="0" fontId="9" fillId="4" borderId="1" xfId="0" applyFont="1" applyFill="1" applyBorder="1" applyAlignment="1">
      <x:alignment horizontal="left" vertical="center"/>
    </x:xf>
    <x:xf numFmtId="0" fontId="0" fillId="0" borderId="2" xfId="0" applyBorder="1"/>
    <x:xf numFmtId="0" fontId="0" fillId="0" borderId="3" xfId="0" applyBorder="1"/>
    <x:xf numFmtId="0" fontId="8" fillId="3" borderId="1" xfId="0" applyFont="1" applyFill="1" applyBorder="1" applyAlignment="1">
      <x:alignment horizontal="left" vertical="center"/>
    </x:xf>
    <x:xf numFmtId="0" fontId="8" fillId="4" borderId="1" xfId="0" applyFont="1" applyFill="1" applyBorder="1"/>
    <x:xf numFmtId="0" fontId="8" fillId="3" borderId="1" xfId="0" applyFont="1" applyFill="1" applyBorder="1"/>
    <x:xf numFmtId="0" fontId="0" fillId="0" borderId="1" xfId="0" applyNumberFormat="1" applyFont="1" applyFill="1" applyBorder="1" applyAlignment="1">
      <x:alignment vertical="top" wrapText="1"/>
    </x:xf>
    <x:xf numFmtId="3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center" wrapText="1"/>
    </x:xf>
    <x:xf numFmtId="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595959"/>
      </x:font>
      <x:fill>
        <x:patternFill>
          <x:bgColor rgb="FFD9D9D9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EFDA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8000"/>
      <x:rgbColor rgb="FF000080"/>
      <x:rgbColor rgb="FF7F6000"/>
      <x:rgbColor rgb="FF800080"/>
      <x:rgbColor rgb="FF008080"/>
      <x:rgbColor rgb="FFBFBFBF"/>
      <x:rgbColor rgb="FF7F7F7F"/>
      <x:rgbColor rgb="FF9999FF"/>
      <x:rgbColor rgb="FF993366"/>
      <x:rgbColor rgb="FFFFF2CC"/>
      <x:rgbColor rgb="FFEAF1F8"/>
      <x:rgbColor rgb="FF660066"/>
      <x:rgbColor rgb="FFFF8080"/>
      <x:rgbColor rgb="FF0563C1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2EFDA"/>
      <x:rgbColor rgb="FFFCE4D6"/>
      <x:rgbColor rgb="FFD9E1EA"/>
      <x:rgbColor rgb="FFFF99CC"/>
      <x:rgbColor rgb="FFCC99FF"/>
      <x:rgbColor rgb="FFF8CBAD"/>
      <x:rgbColor rgb="FF3366FF"/>
      <x:rgbColor rgb="FF33CCCC"/>
      <x:rgbColor rgb="FF99CC00"/>
      <x:rgbColor rgb="FFFFCC00"/>
      <x:rgbColor rgb="FFFF9900"/>
      <x:rgbColor rgb="FFE07A1F"/>
      <x:rgbColor rgb="FF595959"/>
      <x:rgbColor rgb="FF969696"/>
      <x:rgbColor rgb="FF1F3A5F"/>
      <x:rgbColor rgb="FF339966"/>
      <x:rgbColor rgb="FF003300"/>
      <x:rgbColor rgb="FF333300"/>
      <x:rgbColor rgb="FFC55A11"/>
      <x:rgbColor rgb="FF993366"/>
      <x:rgbColor rgb="FF333399"/>
      <x:rgbColor rgb="FF37562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fd9a4cf2bd4356" /><Relationship Type="http://schemas.openxmlformats.org/officeDocument/2006/relationships/theme" Target="/xl/theme/theme1.xml" Id="R53019ae743a84935" /><Relationship Type="http://schemas.openxmlformats.org/officeDocument/2006/relationships/sharedStrings" Target="/xl/sharedStrings.xml" Id="R05f4e865398e47fa" /><Relationship Type="http://schemas.openxmlformats.org/officeDocument/2006/relationships/worksheet" Target="/xl/worksheets/sheet1.xml" Id="R5a76e4d4490c432d" /><Relationship Type="http://schemas.openxmlformats.org/officeDocument/2006/relationships/worksheet" Target="/xl/worksheets/sheet2.xml" Id="R5f4f3bf3602546b3" /><Relationship Type="http://schemas.openxmlformats.org/officeDocument/2006/relationships/worksheet" Target="/xl/worksheets/sheet3.xml" Id="R86e2e57e5b6a4fc5" /><Relationship Type="http://schemas.openxmlformats.org/officeDocument/2006/relationships/worksheet" Target="/xl/worksheets/sheet4.xml" Id="R05b5723f3fff4407" /><Relationship Type="http://schemas.openxmlformats.org/officeDocument/2006/relationships/worksheet" Target="/xl/worksheets/sheet5.xml" Id="R49af5c807fb045e6" /><Relationship Type="http://schemas.openxmlformats.org/officeDocument/2006/relationships/worksheet" Target="/xl/worksheets/sheet6.xml" Id="Re9e27a72c0474ace" /><Relationship Type="http://schemas.openxmlformats.org/officeDocument/2006/relationships/worksheet" Target="/xl/worksheets/sheet7.xml" Id="R65320902e2ad4a22" /><Relationship Type="http://schemas.openxmlformats.org/officeDocument/2006/relationships/worksheet" Target="/xl/worksheets/sheet8.xml" Id="R552f2a3ae5f94989" /><Relationship Type="http://schemas.openxmlformats.org/officeDocument/2006/relationships/worksheet" Target="/xl/worksheets/sheet9.xml" Id="R5c7659d585be418c" /><Relationship Type="http://schemas.openxmlformats.org/officeDocument/2006/relationships/worksheet" Target="/xl/worksheets/sheet10.xml" Id="Re162f42936a340cf" /><Relationship Type="http://schemas.openxmlformats.org/officeDocument/2006/relationships/worksheet" Target="/xl/worksheets/sheet11.xml" Id="Rd6e85ee002294261" /><Relationship Type="http://schemas.openxmlformats.org/officeDocument/2006/relationships/worksheet" Target="/xl/worksheets/sheet12.xml" Id="Ra7baf701dcc74363" /><Relationship Type="http://schemas.microsoft.com/office/2017/10/relationships/person" Target="/xl/persons/person.xml" Id="Rb4231a6784054337" /></Relationships>
</file>

<file path=xl/persons/person.xml><?xml version="1.0" encoding="utf-8"?>
<xltc:personList xmlns:xltc="http://schemas.microsoft.com/office/spreadsheetml/2018/threadedcomments">
  <xltc:person displayName="Unknown Author" id="{A025E5BD-3ED1-2114-3851-1611EBAE0A45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21270ea18aa43fd" /><Relationship Type="http://schemas.openxmlformats.org/officeDocument/2006/relationships/vmlDrawing" Target="/xl/drawings/vmldrawing.vml" Id="R88475a49e8594e2f" /></Relationships>
</file>

<file path=xl/worksheets/sheet1.xml><?xml version="1.0" encoding="utf-8"?>
<x:worksheet xmlns:x="http://schemas.openxmlformats.org/spreadsheetml/2006/main">
  <x:sheetFormatPr defaultColWidth="8.7109375" defaultRowHeight="15"/>
  <x:cols>
    <x:col min="1" max="1" width="20" customWidth="1"/>
    <x:col min="2" max="2" width="24" customWidth="1"/>
    <x:col min="3" max="3" width="48" customWidth="1"/>
  </x:cols>
  <x:sheetData>
    <x:row r="1" ht="19.5" customHeight="1">
      <x:c r="A1" s="1" t="s">
        <x:v>0</x:v>
      </x:c>
    </x:row>
    <x:row r="2" ht="31.5" customHeight="1">
      <x:c r="A2" s="19" t="s">
        <x:v>1</x:v>
      </x:c>
      <x:c r="B2" s="20"/>
      <x:c r="C2" s="20"/>
    </x:row>
    <x:row r="3" ht="31.5" customHeight="1">
      <x:c r="A3" s="19" t="s">
        <x:v>2</x:v>
      </x:c>
      <x:c r="B3" s="20"/>
      <x:c r="C3" s="20"/>
    </x:row>
    <x:row r="5" ht="15" customHeight="1">
      <x:c r="A5" s="2" t="s">
        <x:v>3</x:v>
      </x:c>
      <x:c r="B5" s="2" t="s">
        <x:v>4</x:v>
      </x:c>
      <x:c r="C5" s="2" t="s">
        <x:v>5</x:v>
      </x:c>
    </x:row>
    <x:row r="6" ht="15" customHeight="1">
      <x:c r="A6" s="3" t="s">
        <x:v>6</x:v>
      </x:c>
      <x:c r="B6" t="s">
        <x:v>7</x:v>
      </x:c>
      <x:c r="C6" t="s">
        <x:v>8</x:v>
      </x:c>
    </x:row>
    <x:row r="7" ht="15" customHeight="1">
      <x:c r="A7" s="3" t="s">
        <x:v>9</x:v>
      </x:c>
      <x:c r="B7" t="s">
        <x:v>10</x:v>
      </x:c>
      <x:c r="C7" t="s">
        <x:v>11</x:v>
      </x:c>
    </x:row>
    <x:row r="8" ht="15" customHeight="1">
      <x:c r="A8" s="3" t="s">
        <x:v>12</x:v>
      </x:c>
      <x:c r="B8" t="s">
        <x:v>13</x:v>
      </x:c>
      <x:c r="C8" t="s">
        <x:v>14</x:v>
      </x:c>
    </x:row>
    <x:row r="9" ht="15" customHeight="1">
      <x:c r="A9" s="3" t="s">
        <x:v>15</x:v>
      </x:c>
      <x:c r="B9" t="s">
        <x:v>16</x:v>
      </x:c>
      <x:c r="C9" t="s">
        <x:v>17</x:v>
      </x:c>
    </x:row>
    <x:row r="10" ht="15" customHeight="1">
      <x:c r="A10" s="3" t="s">
        <x:v>18</x:v>
      </x:c>
      <x:c r="B10" t="s">
        <x:v>19</x:v>
      </x:c>
      <x:c r="C10" t="s">
        <x:v>20</x:v>
      </x:c>
    </x:row>
    <x:row r="11" ht="15" customHeight="1">
      <x:c r="A11" s="3" t="s">
        <x:v>21</x:v>
      </x:c>
      <x:c r="B11" t="s">
        <x:v>22</x:v>
      </x:c>
      <x:c r="C11" t="s">
        <x:v>23</x:v>
      </x:c>
    </x:row>
    <x:row r="12" ht="15" customHeight="1">
      <x:c r="A12" s="3" t="s">
        <x:v>24</x:v>
      </x:c>
      <x:c r="B12" t="s">
        <x:v>25</x:v>
      </x:c>
      <x:c r="C12" t="s">
        <x:v>26</x:v>
      </x:c>
    </x:row>
    <x:row r="13" ht="15" customHeight="1">
      <x:c r="A13" s="3" t="s">
        <x:v>27</x:v>
      </x:c>
      <x:c r="B13" t="s">
        <x:v>28</x:v>
      </x:c>
      <x:c r="C13" t="s">
        <x:v>29</x:v>
      </x:c>
    </x:row>
    <x:row r="14" ht="15" customHeight="1">
      <x:c r="A14" s="3" t="s">
        <x:v>30</x:v>
      </x:c>
      <x:c r="B14" t="s">
        <x:v>31</x:v>
      </x:c>
      <x:c r="C14" t="s">
        <x:v>32</x:v>
      </x:c>
    </x:row>
    <x:row r="15" ht="15" customHeight="1">
      <x:c r="A15" s="3" t="s">
        <x:v>33</x:v>
      </x:c>
      <x:c r="B15" t="s">
        <x:v>34</x:v>
      </x:c>
      <x:c r="C15" t="s">
        <x:v>35</x:v>
      </x:c>
    </x:row>
    <x:row r="16" ht="15" customHeight="1">
      <x:c r="A16" s="3" t="s">
        <x:v>36</x:v>
      </x:c>
      <x:c r="B16" t="s">
        <x:v>37</x:v>
      </x:c>
      <x:c r="C16" t="s">
        <x:v>38</x:v>
      </x:c>
    </x:row>
    <x:row r="18" ht="15" customHeight="1">
      <x:c r="A18" s="4" t="s">
        <x:v>39</x:v>
      </x:c>
    </x:row>
  </x:sheetData>
  <x:mergeCells>
    <x:mergeCell ref="A3:C3"/>
    <x:mergeCell ref="A2:C2"/>
  </x:mergeCells>
  <x:hyperlinks>
    <x:hyperlink ref="A6" location="'Fichas KPI'!A1"/>
    <x:hyperlink ref="A7" location="'Campos ficha KPI'!A1"/>
    <x:hyperlink ref="A8" location="'S01 Inventario'!A1"/>
    <x:hyperlink ref="A9" location="'S02 Mapa Silver'!A1"/>
    <x:hyperlink ref="A10" location="'S03 Linaje'!A1"/>
    <x:hyperlink ref="A11" location="'S04 Antes-después'!A1"/>
    <x:hyperlink ref="A12" location="'S05-S06 Modelo'!A1"/>
    <x:hyperlink ref="A13" location="'S07 KPI'!A1"/>
    <x:hyperlink ref="A14" location="'S10 Supuestos'!A1"/>
    <x:hyperlink ref="A15" location="'S11 Pruebas RLS'!A1"/>
    <x:hyperlink ref="A16" location="'S12 Mejoras'!A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6" topLeftCell="B7" activePane="bottomRight" state="frozen"/>
    </x:sheetView>
  </x:sheetViews>
  <x:sheetFormatPr defaultColWidth="8.7109375" defaultRowHeight="15"/>
  <x:cols>
    <x:col min="1" max="1" width="20" customWidth="1"/>
    <x:col min="2" max="2" width="34" customWidth="1"/>
    <x:col min="3" max="3" width="14" customWidth="1"/>
    <x:col min="4" max="4" width="30" customWidth="1"/>
    <x:col min="5" max="5" width="10" customWidth="1"/>
    <x:col min="6" max="6" width="26" customWidth="1"/>
    <x:col min="7" max="7" width="32" customWidth="1"/>
    <x:col min="8" max="8" width="20" customWidth="1"/>
    <x:col min="9" max="9" width="22" customWidth="1"/>
    <x:col min="10" max="10" width="30" customWidth="1"/>
    <x:col min="11" max="11" width="16" customWidth="1"/>
    <x:col min="12" max="12" width="12" customWidth="1"/>
    <x:col min="13" max="13" width="24" customWidth="1"/>
    <x:col min="14" max="14" width="14" customWidth="1"/>
    <x:col min="15" max="15" width="10" customWidth="1"/>
    <x:col min="16" max="16" width="34" customWidth="1"/>
    <x:col min="17" max="18" width="11" customWidth="1"/>
    <x:col min="19" max="19" width="14" customWidth="1"/>
    <x:col min="20" max="20" width="20" customWidth="1"/>
    <x:col min="21" max="21" width="30" customWidth="1"/>
    <x:col min="22" max="22" width="26" customWidth="1"/>
    <x:col min="23" max="23" width="18" customWidth="1"/>
    <x:col min="24" max="24" width="14" customWidth="1"/>
    <x:col min="25" max="25" width="32" customWidth="1"/>
    <x:col min="26" max="26" width="30" customWidth="1"/>
    <x:col min="27" max="27" width="10" customWidth="1"/>
  </x:cols>
  <x:sheetData>
    <x:row r="1" ht="15" customHeight="1">
      <x:c r="A1" s="5" t="s">
        <x:v>40</x:v>
      </x:c>
    </x:row>
    <x:row r="2" ht="17.25" customHeight="1">
      <x:c r="A2" s="6" t="s">
        <x:v>41</x:v>
      </x:c>
    </x:row>
    <x:row r="3" ht="45" customHeight="1">
      <x:c r="A3" s="19" t="s">
        <x:v>42</x:v>
      </x:c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  <x:c r="AA3" s="20"/>
    </x:row>
    <x:row r="4" ht="15" customHeight="1">
      <x:c r="A4" s="7" t="s">
        <x:v>43</x:v>
      </x:c>
      <x:c r="B4" t="s">
        <x:v>44</x:v>
      </x:c>
      <x:c r="C4" s="7" t="s">
        <x:v>45</x:v>
      </x:c>
      <x:c r="D4" t="s">
        <x:v>46</x:v>
      </x:c>
      <x:c r="E4" s="7" t="s">
        <x:v>47</x:v>
      </x:c>
      <x:c r="F4" t="s">
        <x:v>48</x:v>
      </x:c>
    </x:row>
    <x:row r="5" ht="19.5" customHeight="1">
      <x:c r="A5" s="24" t="s">
        <x:v>49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3"/>
      <x:c r="L5" s="24" t="s">
        <x:v>50</x:v>
      </x:c>
      <x:c r="M5" s="22"/>
      <x:c r="N5" s="22"/>
      <x:c r="O5" s="22"/>
      <x:c r="P5" s="22"/>
      <x:c r="Q5" s="22"/>
      <x:c r="R5" s="22"/>
      <x:c r="S5" s="22"/>
      <x:c r="T5" s="22"/>
      <x:c r="U5" s="22"/>
      <x:c r="V5" s="23"/>
      <x:c r="W5" s="21" t="s">
        <x:v>51</x:v>
      </x:c>
      <x:c r="X5" s="22"/>
      <x:c r="Y5" s="22"/>
      <x:c r="Z5" s="22"/>
      <x:c r="AA5" s="23"/>
    </x:row>
    <x:row r="6" ht="45.75" customHeight="1">
      <x:c r="A6" s="8" t="s">
        <x:v>52</x:v>
      </x:c>
      <x:c r="B6" s="8" t="s">
        <x:v>53</x:v>
      </x:c>
      <x:c r="C6" s="8" t="s">
        <x:v>54</x:v>
      </x:c>
      <x:c r="D6" s="8" t="s">
        <x:v>55</x:v>
      </x:c>
      <x:c r="E6" s="8" t="s">
        <x:v>56</x:v>
      </x:c>
      <x:c r="F6" s="8" t="s">
        <x:v>57</x:v>
      </x:c>
      <x:c r="G6" s="8" t="s">
        <x:v>58</x:v>
      </x:c>
      <x:c r="H6" s="8" t="s">
        <x:v>59</x:v>
      </x:c>
      <x:c r="I6" s="8" t="s">
        <x:v>60</x:v>
      </x:c>
      <x:c r="J6" s="8" t="s">
        <x:v>61</x:v>
      </x:c>
      <x:c r="K6" s="8" t="s">
        <x:v>62</x:v>
      </x:c>
      <x:c r="L6" s="8" t="s">
        <x:v>63</x:v>
      </x:c>
      <x:c r="M6" s="8" t="s">
        <x:v>64</x:v>
      </x:c>
      <x:c r="N6" s="8" t="s">
        <x:v>65</x:v>
      </x:c>
      <x:c r="O6" s="8" t="s">
        <x:v>66</x:v>
      </x:c>
      <x:c r="P6" s="8" t="s">
        <x:v>67</x:v>
      </x:c>
      <x:c r="Q6" s="8" t="s">
        <x:v>68</x:v>
      </x:c>
      <x:c r="R6" s="8" t="s">
        <x:v>69</x:v>
      </x:c>
      <x:c r="S6" s="8" t="s">
        <x:v>70</x:v>
      </x:c>
      <x:c r="T6" s="8" t="s">
        <x:v>71</x:v>
      </x:c>
      <x:c r="U6" s="8" t="s">
        <x:v>72</x:v>
      </x:c>
      <x:c r="V6" s="8" t="s">
        <x:v>73</x:v>
      </x:c>
      <x:c r="W6" s="8" t="s">
        <x:v>74</x:v>
      </x:c>
      <x:c r="X6" s="8" t="s">
        <x:v>75</x:v>
      </x:c>
      <x:c r="Y6" s="8" t="s">
        <x:v>76</x:v>
      </x:c>
      <x:c r="Z6" s="8" t="s">
        <x:v>77</x:v>
      </x:c>
      <x:c r="AA6" s="8" t="s">
        <x:v>78</x:v>
      </x:c>
    </x:row>
    <x:row r="7" ht="60" customHeight="1">
      <x:c r="A7" s="9" t="s">
        <x:v>79</x:v>
      </x:c>
      <x:c r="B7" s="9" t="s">
        <x:v>80</x:v>
      </x:c>
      <x:c r="C7" s="9" t="s">
        <x:v>81</x:v>
      </x:c>
      <x:c r="D7" s="9" t="s">
        <x:v>82</x:v>
      </x:c>
      <x:c r="E7" s="9" t="s">
        <x:v>83</x:v>
      </x:c>
      <x:c r="F7" s="9" t="str">
        <x:v>Telemetria</x:v>
      </x:c>
      <x:c r="G7" s="9"/>
      <x:c r="H7" s="9"/>
      <x:c r="I7" s="9"/>
      <x:c r="J7" s="9"/>
      <x:c r="K7" s="9"/>
      <x:c r="L7" s="10"/>
      <x:c r="M7" s="9"/>
      <x:c r="N7" s="9"/>
      <x:c r="O7" s="10"/>
      <x:c r="P7" s="9"/>
      <x:c r="Q7" s="10"/>
      <x:c r="R7" s="10"/>
      <x:c r="S7" s="11" t="str">
        <x:f t="shared" ref="S7:S15" si="0">IF(OR(L7="",N7="",Q7="",R7=""),"",IF(N7="Más es mejor",IF(Q7&lt;=R7,"Revise umbrales",IF(L7&gt;=Q7,"Verde",IF(L7&lt;R7,"Rojo","Amarillo"))),IF(Q7&gt;=R7,"Revise umbrales",IF(L7&lt;=Q7,"Verde",IF(L7&gt;R7,"Rojo","Amarillo")))))</x:f>
      </x:c>
      <x:c r="T7" s="9"/>
      <x:c r="U7" s="9"/>
      <x:c r="V7" s="9"/>
      <x:c r="W7" s="9"/>
      <x:c r="X7" s="9"/>
      <x:c r="Y7" s="9"/>
      <x:c r="Z7" s="9"/>
      <x:c r="AA7" s="12" t="n">
        <x:f t="shared" ref="AA7:AA15" si="1">IF(A7="","",COUNTA(A7:R7,T7:Z7)/25)</x:f>
        <x:v>0.24</x:v>
      </x:c>
    </x:row>
    <x:row r="8" ht="60" customHeight="1">
      <x:c r="A8" s="9" t="s">
        <x:v>84</x:v>
      </x:c>
      <x:c r="B8" s="9" t="s">
        <x:v>85</x:v>
      </x:c>
      <x:c r="C8" s="9" t="s">
        <x:v>81</x:v>
      </x:c>
      <x:c r="D8" s="9" t="s">
        <x:v>86</x:v>
      </x:c>
      <x:c r="E8" s="9" t="s">
        <x:v>83</x:v>
      </x:c>
      <x:c r="F8" s="9" t="str">
        <x:v>Telemetria</x:v>
      </x:c>
      <x:c r="G8" s="9"/>
      <x:c r="H8" s="9"/>
      <x:c r="I8" s="9"/>
      <x:c r="J8" s="9"/>
      <x:c r="K8" s="9"/>
      <x:c r="L8" s="10"/>
      <x:c r="M8" s="9"/>
      <x:c r="N8" s="9"/>
      <x:c r="O8" s="10"/>
      <x:c r="P8" s="9"/>
      <x:c r="Q8" s="10"/>
      <x:c r="R8" s="10"/>
      <x:c r="S8" s="11" t="str">
        <x:f t="shared" si="0"/>
      </x:c>
      <x:c r="T8" s="9"/>
      <x:c r="U8" s="9"/>
      <x:c r="V8" s="9"/>
      <x:c r="W8" s="9"/>
      <x:c r="X8" s="9"/>
      <x:c r="Y8" s="9"/>
      <x:c r="Z8" s="9"/>
      <x:c r="AA8" s="12">
        <x:f t="shared" si="1"/>
        <x:v>0.2</x:v>
      </x:c>
    </x:row>
    <x:row r="9" ht="60" customHeight="1">
      <x:c r="A9" s="9" t="s">
        <x:v>87</x:v>
      </x:c>
      <x:c r="B9" s="9" t="s">
        <x:v>88</x:v>
      </x:c>
      <x:c r="C9" s="9" t="s">
        <x:v>81</x:v>
      </x:c>
      <x:c r="D9" s="9" t="s">
        <x:v>89</x:v>
      </x:c>
      <x:c r="E9" s="9" t="s">
        <x:v>83</x:v>
      </x:c>
      <x:c r="F9" s="9" t="str">
        <x:v>Inventario</x:v>
      </x:c>
      <x:c r="G9" s="9"/>
      <x:c r="H9" s="9"/>
      <x:c r="I9" s="9"/>
      <x:c r="J9" s="9"/>
      <x:c r="K9" s="9"/>
      <x:c r="L9" s="10"/>
      <x:c r="M9" s="9"/>
      <x:c r="N9" s="9"/>
      <x:c r="O9" s="10"/>
      <x:c r="P9" s="9"/>
      <x:c r="Q9" s="10"/>
      <x:c r="R9" s="10"/>
      <x:c r="S9" s="11" t="str">
        <x:f t="shared" si="0"/>
      </x:c>
      <x:c r="T9" s="9"/>
      <x:c r="U9" s="9"/>
      <x:c r="V9" s="9"/>
      <x:c r="W9" s="9"/>
      <x:c r="X9" s="9"/>
      <x:c r="Y9" s="9"/>
      <x:c r="Z9" s="9"/>
      <x:c r="AA9" s="12">
        <x:f t="shared" si="1"/>
        <x:v>0.2</x:v>
      </x:c>
    </x:row>
    <x:row r="10" ht="60" customHeight="1">
      <x:c r="A10" s="9" t="s">
        <x:v>90</x:v>
      </x:c>
      <x:c r="B10" s="9" t="s">
        <x:v>91</x:v>
      </x:c>
      <x:c r="C10" s="9" t="s">
        <x:v>81</x:v>
      </x:c>
      <x:c r="D10" s="9" t="s">
        <x:v>92</x:v>
      </x:c>
      <x:c r="E10" s="9" t="s">
        <x:v>83</x:v>
      </x:c>
      <x:c r="F10" s="9" t="str">
        <x:v>Inventario</x:v>
      </x:c>
      <x:c r="G10" s="9"/>
      <x:c r="H10" s="9"/>
      <x:c r="I10" s="9"/>
      <x:c r="J10" s="9"/>
      <x:c r="K10" s="9"/>
      <x:c r="L10" s="10"/>
      <x:c r="M10" s="9"/>
      <x:c r="N10" s="9"/>
      <x:c r="O10" s="10"/>
      <x:c r="P10" s="9"/>
      <x:c r="Q10" s="10"/>
      <x:c r="R10" s="10"/>
      <x:c r="S10" s="11" t="str">
        <x:f t="shared" si="0"/>
      </x:c>
      <x:c r="T10" s="9"/>
      <x:c r="U10" s="9"/>
      <x:c r="V10" s="9"/>
      <x:c r="W10" s="9"/>
      <x:c r="X10" s="9"/>
      <x:c r="Y10" s="9"/>
      <x:c r="Z10" s="9"/>
      <x:c r="AA10" s="12">
        <x:f t="shared" si="1"/>
        <x:v>0.2</x:v>
      </x:c>
    </x:row>
    <x:row r="11" ht="60" customHeight="1">
      <x:c r="A11" s="9" t="s">
        <x:v>93</x:v>
      </x:c>
      <x:c r="B11" s="9" t="s">
        <x:v>94</x:v>
      </x:c>
      <x:c r="C11" s="9" t="s">
        <x:v>81</x:v>
      </x:c>
      <x:c r="D11" s="9" t="s">
        <x:v>95</x:v>
      </x:c>
      <x:c r="E11" s="9" t="s">
        <x:v>96</x:v>
      </x:c>
      <x:c r="F11" s="9" t="str">
        <x:v>Inventario</x:v>
      </x:c>
      <x:c r="G11" s="9"/>
      <x:c r="H11" s="9"/>
      <x:c r="I11" s="9"/>
      <x:c r="J11" s="9"/>
      <x:c r="K11" s="9"/>
      <x:c r="L11" s="10"/>
      <x:c r="M11" s="9"/>
      <x:c r="N11" s="9"/>
      <x:c r="O11" s="10"/>
      <x:c r="P11" s="9"/>
      <x:c r="Q11" s="10"/>
      <x:c r="R11" s="10"/>
      <x:c r="S11" s="11" t="str">
        <x:f t="shared" si="0"/>
      </x:c>
      <x:c r="T11" s="9"/>
      <x:c r="U11" s="9"/>
      <x:c r="V11" s="9"/>
      <x:c r="W11" s="9"/>
      <x:c r="X11" s="9"/>
      <x:c r="Y11" s="9"/>
      <x:c r="Z11" s="9"/>
      <x:c r="AA11" s="12">
        <x:f t="shared" si="1"/>
        <x:v>0.2</x:v>
      </x:c>
    </x:row>
    <x:row r="12" ht="36" customHeight="1">
      <x:c r="A12" s="9"/>
      <x:c r="B12" s="9"/>
      <x:c r="C12" s="9"/>
      <x:c r="D12" s="9"/>
      <x:c r="E12" s="9"/>
      <x:c r="F12" s="9"/>
      <x:c r="G12" s="9"/>
      <x:c r="H12" s="9"/>
      <x:c r="I12" s="9"/>
      <x:c r="J12" s="9"/>
      <x:c r="K12" s="9"/>
      <x:c r="L12" s="10"/>
      <x:c r="M12" s="9"/>
      <x:c r="N12" s="9"/>
      <x:c r="O12" s="10"/>
      <x:c r="P12" s="9"/>
      <x:c r="Q12" s="10"/>
      <x:c r="R12" s="10"/>
      <x:c r="S12" s="11" t="str">
        <x:f t="shared" si="0"/>
      </x:c>
      <x:c r="T12" s="9"/>
      <x:c r="U12" s="9"/>
      <x:c r="V12" s="9"/>
      <x:c r="W12" s="9"/>
      <x:c r="X12" s="9"/>
      <x:c r="Y12" s="9"/>
      <x:c r="Z12" s="9"/>
      <x:c r="AA12" s="12" t="str">
        <x:f t="shared" si="1"/>
      </x:c>
    </x:row>
    <x:row r="13" ht="36" customHeight="1">
      <x:c r="A13" s="9"/>
      <x:c r="B13" s="9"/>
      <x:c r="C13" s="9"/>
      <x:c r="D13" s="9"/>
      <x:c r="E13" s="9"/>
      <x:c r="F13" s="9"/>
      <x:c r="G13" s="9"/>
      <x:c r="H13" s="9"/>
      <x:c r="I13" s="9"/>
      <x:c r="J13" s="9"/>
      <x:c r="K13" s="9"/>
      <x:c r="L13" s="10"/>
      <x:c r="M13" s="9"/>
      <x:c r="N13" s="9"/>
      <x:c r="O13" s="10"/>
      <x:c r="P13" s="9"/>
      <x:c r="Q13" s="10"/>
      <x:c r="R13" s="10"/>
      <x:c r="S13" s="11" t="str">
        <x:f t="shared" si="0"/>
      </x:c>
      <x:c r="T13" s="9"/>
      <x:c r="U13" s="9"/>
      <x:c r="V13" s="9"/>
      <x:c r="W13" s="9"/>
      <x:c r="X13" s="9"/>
      <x:c r="Y13" s="9"/>
      <x:c r="Z13" s="9"/>
      <x:c r="AA13" s="12" t="str">
        <x:f t="shared" si="1"/>
      </x:c>
    </x:row>
    <x:row r="14" ht="36" customHeight="1">
      <x:c r="A14" s="9"/>
      <x:c r="B14" s="9"/>
      <x:c r="C14" s="9"/>
      <x:c r="D14" s="9"/>
      <x:c r="E14" s="9"/>
      <x:c r="F14" s="9"/>
      <x:c r="G14" s="9"/>
      <x:c r="H14" s="9"/>
      <x:c r="I14" s="9"/>
      <x:c r="J14" s="9"/>
      <x:c r="K14" s="9"/>
      <x:c r="L14" s="10"/>
      <x:c r="M14" s="9"/>
      <x:c r="N14" s="9"/>
      <x:c r="O14" s="10"/>
      <x:c r="P14" s="9"/>
      <x:c r="Q14" s="10"/>
      <x:c r="R14" s="10"/>
      <x:c r="S14" s="11" t="str">
        <x:f t="shared" si="0"/>
      </x:c>
      <x:c r="T14" s="9"/>
      <x:c r="U14" s="9"/>
      <x:c r="V14" s="9"/>
      <x:c r="W14" s="9"/>
      <x:c r="X14" s="9"/>
      <x:c r="Y14" s="9"/>
      <x:c r="Z14" s="9"/>
      <x:c r="AA14" s="12" t="str">
        <x:f t="shared" si="1"/>
      </x:c>
    </x:row>
    <x:row r="15" ht="36" customHeight="1">
      <x:c r="A15" s="9"/>
      <x:c r="B15" s="9"/>
      <x:c r="C15" s="9"/>
      <x:c r="D15" s="9"/>
      <x:c r="E15" s="9"/>
      <x:c r="F15" s="9"/>
      <x:c r="G15" s="9"/>
      <x:c r="H15" s="9"/>
      <x:c r="I15" s="9"/>
      <x:c r="J15" s="9"/>
      <x:c r="K15" s="9"/>
      <x:c r="L15" s="10"/>
      <x:c r="M15" s="9"/>
      <x:c r="N15" s="9"/>
      <x:c r="O15" s="10"/>
      <x:c r="P15" s="9"/>
      <x:c r="Q15" s="10"/>
      <x:c r="R15" s="10"/>
      <x:c r="S15" s="11" t="str">
        <x:f t="shared" si="0"/>
      </x:c>
      <x:c r="T15" s="9"/>
      <x:c r="U15" s="9"/>
      <x:c r="V15" s="9"/>
      <x:c r="W15" s="9"/>
      <x:c r="X15" s="9"/>
      <x:c r="Y15" s="9"/>
      <x:c r="Z15" s="9"/>
      <x:c r="AA15" s="12" t="str">
        <x:f t="shared" si="1"/>
      </x:c>
    </x:row>
    <x:row r="17" ht="15" customHeight="1">
      <x:c r="A17" s="4" t="s">
        <x:v>97</x:v>
      </x:c>
    </x:row>
    <x:row r="18" ht="15" customHeight="1">
      <x:c r="A18" s="4" t="s">
        <x:v>98</x:v>
      </x:c>
    </x:row>
    <x:row r="19" ht="15" customHeight="1">
      <x:c r="A19" s="4" t="s">
        <x:v>99</x:v>
      </x:c>
    </x:row>
  </x:sheetData>
  <x:mergeCells>
    <x:mergeCell ref="W5:AA5"/>
    <x:mergeCell ref="L5:V5"/>
    <x:mergeCell ref="A5:K5"/>
    <x:mergeCell ref="A3:AA3"/>
  </x:mergeCells>
  <x:conditionalFormatting sqref="S7:S15">
    <x:cfRule type="expression" dxfId="3" priority="2">
      <x:formula>S7="Verde"</x:formula>
    </x:cfRule>
    <x:cfRule type="expression" dxfId="2" priority="3">
      <x:formula>S7="Amarillo"</x:formula>
    </x:cfRule>
    <x:cfRule type="expression" dxfId="1" priority="4">
      <x:formula>S7="Rojo"</x:formula>
    </x:cfRule>
    <x:cfRule type="expression" dxfId="0" priority="5">
      <x:formula>S7="Revise umbrales"</x:formula>
    </x:cfRule>
  </x:conditionalFormatting>
  <x:dataValidations count="4">
    <x:dataValidation type="list" allowBlank="1" sqref="C7:C15">
      <x:formula1>"Estratégico,Táctico,Operativo"</x:formula1>
      <x:formula2>0</x:formula2>
    </x:dataValidation>
    <x:dataValidation type="list" allowBlank="1" sqref="N7:N15">
      <x:formula1>"Más es mejor,Menos es mejor"</x:formula1>
      <x:formula2>0</x:formula2>
    </x:dataValidation>
    <x:dataValidation type="list" allowBlank="1" sqref="W7:W15">
      <x:formula1>"Financiera,Clientes,Procesos internos,Aprendizaje y crecimiento"</x:formula1>
      <x:formula2>0</x:formula2>
    </x:dataValidation>
    <x:dataValidation type="list" allowBlank="1" sqref="X7:X15">
      <x:formula1>"Resultado,Impulsor"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88475a49e8594e2f"/>
</x:worksheet>
</file>

<file path=xl/worksheets/sheet3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7" customWidth="1"/>
    <x:col min="2" max="2" width="30" customWidth="1"/>
    <x:col min="3" max="3" width="44" customWidth="1"/>
    <x:col min="4" max="4" width="9" customWidth="1"/>
    <x:col min="5" max="5" width="44" customWidth="1"/>
    <x:col min="6" max="6" width="40" customWidth="1"/>
  </x:cols>
  <x:sheetData>
    <x:row r="1" ht="15" customHeight="1">
      <x:c r="A1" s="5" t="s">
        <x:v>100</x:v>
      </x:c>
    </x:row>
    <x:row r="2" ht="17.25" customHeight="1">
      <x:c r="A2" s="6" t="s">
        <x:v>101</x:v>
      </x:c>
    </x:row>
    <x:row r="3" ht="45" customHeight="1">
      <x:c r="A3" s="19" t="s">
        <x:v>102</x:v>
      </x:c>
      <x:c r="B3" s="20"/>
      <x:c r="C3" s="20"/>
      <x:c r="D3" s="20"/>
      <x:c r="E3" s="20"/>
      <x:c r="F3" s="20"/>
    </x:row>
    <x:row r="6" ht="31.5" customHeight="1">
      <x:c r="A6" s="8" t="s">
        <x:v>103</x:v>
      </x:c>
      <x:c r="B6" s="8" t="s">
        <x:v>104</x:v>
      </x:c>
      <x:c r="C6" s="8" t="s">
        <x:v>105</x:v>
      </x:c>
      <x:c r="D6" s="8" t="s">
        <x:v>106</x:v>
      </x:c>
      <x:c r="E6" s="8" t="s">
        <x:v>107</x:v>
      </x:c>
      <x:c r="F6" s="8" t="s">
        <x:v>108</x:v>
      </x:c>
    </x:row>
    <x:row r="7" ht="15" customHeight="1">
      <x:c r="A7" s="26" t="s">
        <x:v>109</x:v>
      </x:c>
      <x:c r="B7" s="22"/>
      <x:c r="C7" s="22"/>
      <x:c r="D7" s="22"/>
      <x:c r="E7" s="22"/>
      <x:c r="F7" s="23"/>
    </x:row>
    <x:row r="8" ht="31.5" customHeight="1">
      <x:c r="A8" s="13" t="s">
        <x:v>110</x:v>
      </x:c>
      <x:c r="B8" s="14" t="s">
        <x:v>111</x:v>
      </x:c>
      <x:c r="C8" s="14" t="s">
        <x:v>112</x:v>
      </x:c>
      <x:c r="D8" s="13" t="s">
        <x:v>113</x:v>
      </x:c>
      <x:c r="E8" s="14" t="s">
        <x:v>114</x:v>
      </x:c>
      <x:c r="F8" s="14" t="s">
        <x:v>115</x:v>
      </x:c>
    </x:row>
    <x:row r="9" ht="31.5" customHeight="1">
      <x:c r="A9" s="13" t="s">
        <x:v>110</x:v>
      </x:c>
      <x:c r="B9" s="14" t="s">
        <x:v>116</x:v>
      </x:c>
      <x:c r="C9" s="14" t="s">
        <x:v>117</x:v>
      </x:c>
      <x:c r="D9" s="13" t="s">
        <x:v>118</x:v>
      </x:c>
      <x:c r="E9" s="14" t="s">
        <x:v>81</x:v>
      </x:c>
      <x:c r="F9" s="14" t="s">
        <x:v>119</x:v>
      </x:c>
    </x:row>
    <x:row r="10" ht="31.5" customHeight="1">
      <x:c r="A10" s="13" t="s">
        <x:v>120</x:v>
      </x:c>
      <x:c r="B10" s="14" t="s">
        <x:v>121</x:v>
      </x:c>
      <x:c r="C10" s="14" t="s">
        <x:v>122</x:v>
      </x:c>
      <x:c r="D10" s="13" t="s">
        <x:v>118</x:v>
      </x:c>
      <x:c r="E10" s="14" t="s">
        <x:v>123</x:v>
      </x:c>
      <x:c r="F10" s="14" t="s">
        <x:v>124</x:v>
      </x:c>
    </x:row>
    <x:row r="11" ht="31.5" customHeight="1">
      <x:c r="A11" s="13" t="s">
        <x:v>125</x:v>
      </x:c>
      <x:c r="B11" s="14" t="s">
        <x:v>126</x:v>
      </x:c>
      <x:c r="C11" s="14" t="s">
        <x:v>127</x:v>
      </x:c>
      <x:c r="D11" s="13" t="s">
        <x:v>128</x:v>
      </x:c>
      <x:c r="E11" s="14" t="s">
        <x:v>129</x:v>
      </x:c>
      <x:c r="F11" s="14" t="s">
        <x:v>130</x:v>
      </x:c>
    </x:row>
    <x:row r="12" ht="31.5" customHeight="1">
      <x:c r="A12" s="13" t="s">
        <x:v>125</x:v>
      </x:c>
      <x:c r="B12" s="14" t="s">
        <x:v>131</x:v>
      </x:c>
      <x:c r="C12" s="14" t="s">
        <x:v>132</x:v>
      </x:c>
      <x:c r="D12" s="13" t="s">
        <x:v>133</x:v>
      </x:c>
      <x:c r="E12" s="14" t="s">
        <x:v>134</x:v>
      </x:c>
      <x:c r="F12" s="14" t="s">
        <x:v>135</x:v>
      </x:c>
    </x:row>
    <x:row r="13" ht="31.5" customHeight="1">
      <x:c r="A13" s="13" t="s">
        <x:v>136</x:v>
      </x:c>
      <x:c r="B13" s="14" t="s">
        <x:v>137</x:v>
      </x:c>
      <x:c r="C13" s="14" t="s">
        <x:v>138</x:v>
      </x:c>
      <x:c r="D13" s="13" t="s">
        <x:v>139</x:v>
      </x:c>
      <x:c r="E13" s="14" t="s">
        <x:v>140</x:v>
      </x:c>
      <x:c r="F13" s="14" t="s">
        <x:v>141</x:v>
      </x:c>
    </x:row>
    <x:row r="14" ht="31.5" customHeight="1">
      <x:c r="A14" s="13" t="s">
        <x:v>136</x:v>
      </x:c>
      <x:c r="B14" s="14" t="s">
        <x:v>142</x:v>
      </x:c>
      <x:c r="C14" s="14" t="s">
        <x:v>143</x:v>
      </x:c>
      <x:c r="D14" s="13" t="s">
        <x:v>144</x:v>
      </x:c>
      <x:c r="E14" s="14" t="s">
        <x:v>145</x:v>
      </x:c>
      <x:c r="F14" s="14" t="s">
        <x:v>146</x:v>
      </x:c>
    </x:row>
    <x:row r="15" ht="15" customHeight="1">
      <x:c r="A15" s="26" t="s">
        <x:v>147</x:v>
      </x:c>
      <x:c r="B15" s="22"/>
      <x:c r="C15" s="22"/>
      <x:c r="D15" s="22"/>
      <x:c r="E15" s="22"/>
      <x:c r="F15" s="23"/>
    </x:row>
    <x:row r="16" ht="31.5" customHeight="1">
      <x:c r="A16" s="13" t="s">
        <x:v>148</x:v>
      </x:c>
      <x:c r="B16" s="14" t="s">
        <x:v>149</x:v>
      </x:c>
      <x:c r="C16" s="14" t="s">
        <x:v>150</x:v>
      </x:c>
      <x:c r="D16" s="13" t="s">
        <x:v>144</x:v>
      </x:c>
      <x:c r="E16" s="14" t="s">
        <x:v>151</x:v>
      </x:c>
      <x:c r="F16" s="14" t="s">
        <x:v>152</x:v>
      </x:c>
    </x:row>
    <x:row r="17" ht="31.5" customHeight="1">
      <x:c r="A17" s="13" t="s">
        <x:v>153</x:v>
      </x:c>
      <x:c r="B17" s="14" t="s">
        <x:v>154</x:v>
      </x:c>
      <x:c r="C17" s="14" t="s">
        <x:v>155</x:v>
      </x:c>
      <x:c r="D17" s="13" t="s">
        <x:v>156</x:v>
      </x:c>
      <x:c r="E17" s="14" t="s">
        <x:v>157</x:v>
      </x:c>
      <x:c r="F17" s="14" t="s">
        <x:v>158</x:v>
      </x:c>
    </x:row>
    <x:row r="18" ht="31.5" customHeight="1">
      <x:c r="A18" s="13" t="s">
        <x:v>153</x:v>
      </x:c>
      <x:c r="B18" s="14" t="s">
        <x:v>159</x:v>
      </x:c>
      <x:c r="C18" s="14" t="s">
        <x:v>160</x:v>
      </x:c>
      <x:c r="D18" s="13" t="s">
        <x:v>156</x:v>
      </x:c>
      <x:c r="E18" s="14" t="s">
        <x:v>161</x:v>
      </x:c>
      <x:c r="F18" s="14" t="s">
        <x:v>162</x:v>
      </x:c>
    </x:row>
    <x:row r="19" ht="31.5" customHeight="1">
      <x:c r="A19" s="13" t="s">
        <x:v>163</x:v>
      </x:c>
      <x:c r="B19" s="14" t="s">
        <x:v>164</x:v>
      </x:c>
      <x:c r="C19" s="14" t="s">
        <x:v>165</x:v>
      </x:c>
      <x:c r="D19" s="13" t="s">
        <x:v>166</x:v>
      </x:c>
      <x:c r="E19" s="14" t="s">
        <x:v>167</x:v>
      </x:c>
      <x:c r="F19" s="14" t="s">
        <x:v>168</x:v>
      </x:c>
    </x:row>
    <x:row r="20" ht="31.5" customHeight="1">
      <x:c r="A20" s="13" t="s">
        <x:v>163</x:v>
      </x:c>
      <x:c r="B20" s="14" t="s">
        <x:v>169</x:v>
      </x:c>
      <x:c r="C20" s="14" t="s">
        <x:v>170</x:v>
      </x:c>
      <x:c r="D20" s="13" t="s">
        <x:v>166</x:v>
      </x:c>
      <x:c r="E20" s="14" t="s">
        <x:v>171</x:v>
      </x:c>
      <x:c r="F20" s="14" t="s">
        <x:v>172</x:v>
      </x:c>
    </x:row>
    <x:row r="21" ht="15" customHeight="1">
      <x:c r="A21" s="25" t="s">
        <x:v>173</x:v>
      </x:c>
      <x:c r="B21" s="22"/>
      <x:c r="C21" s="22"/>
      <x:c r="D21" s="22"/>
      <x:c r="E21" s="22"/>
      <x:c r="F21" s="23"/>
    </x:row>
    <x:row r="22" ht="31.5" customHeight="1">
      <x:c r="A22" s="13" t="s">
        <x:v>174</x:v>
      </x:c>
      <x:c r="B22" s="14" t="s">
        <x:v>175</x:v>
      </x:c>
      <x:c r="C22" s="14" t="s">
        <x:v>176</x:v>
      </x:c>
      <x:c r="D22" s="13" t="s">
        <x:v>177</x:v>
      </x:c>
      <x:c r="E22" s="14" t="s">
        <x:v>178</x:v>
      </x:c>
      <x:c r="F22" s="14" t="s">
        <x:v>179</x:v>
      </x:c>
    </x:row>
    <x:row r="23" ht="31.5" customHeight="1">
      <x:c r="A23" s="13" t="s">
        <x:v>174</x:v>
      </x:c>
      <x:c r="B23" s="14" t="s">
        <x:v>180</x:v>
      </x:c>
      <x:c r="C23" s="14" t="s">
        <x:v>181</x:v>
      </x:c>
      <x:c r="D23" s="13" t="s">
        <x:v>166</x:v>
      </x:c>
      <x:c r="E23" s="14" t="s">
        <x:v>182</x:v>
      </x:c>
      <x:c r="F23" s="14" t="s">
        <x:v>183</x:v>
      </x:c>
    </x:row>
    <x:row r="24" ht="31.5" customHeight="1">
      <x:c r="A24" s="13" t="s">
        <x:v>184</x:v>
      </x:c>
      <x:c r="B24" s="14" t="s">
        <x:v>185</x:v>
      </x:c>
      <x:c r="C24" s="14" t="s">
        <x:v>186</x:v>
      </x:c>
      <x:c r="D24" s="13" t="s">
        <x:v>187</x:v>
      </x:c>
      <x:c r="E24" s="14" t="s">
        <x:v>188</x:v>
      </x:c>
      <x:c r="F24" s="14" t="s">
        <x:v>189</x:v>
      </x:c>
    </x:row>
  </x:sheetData>
  <x:mergeCells>
    <x:mergeCell ref="A3:F3"/>
    <x:mergeCell ref="A21:F21"/>
    <x:mergeCell ref="A15:F15"/>
    <x:mergeCell ref="A7:F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26" customWidth="1"/>
    <x:col min="2" max="2" width="30" customWidth="1"/>
    <x:col min="3" max="3" width="24" customWidth="1"/>
    <x:col min="4" max="4" width="9" customWidth="1"/>
    <x:col min="5" max="5" width="10" customWidth="1"/>
    <x:col min="6" max="6" width="36" customWidth="1"/>
    <x:col min="7" max="7" width="20" customWidth="1"/>
  </x:cols>
  <x:sheetData>
    <x:row r="1" ht="15" customHeight="1">
      <x:c r="A1" s="5" t="s">
        <x:v>190</x:v>
      </x:c>
    </x:row>
    <x:row r="2" ht="17.25" customHeight="1">
      <x:c r="A2" s="6" t="s">
        <x:v>14</x:v>
      </x:c>
    </x:row>
    <x:row r="3" ht="30" customHeight="1">
      <x:c r="A3" s="19" t="s">
        <x:v>191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B4" t="s">
        <x:v>44</x:v>
      </x:c>
      <x:c r="C4" s="7" t="s">
        <x:v>45</x:v>
      </x:c>
      <x:c r="D4" t="s">
        <x:v>46</x:v>
      </x:c>
      <x:c r="E4" s="7" t="s">
        <x:v>47</x:v>
      </x:c>
      <x:c r="F4" t="s">
        <x:v>48</x:v>
      </x:c>
    </x:row>
    <x:row r="6" ht="31.5" customHeight="1">
      <x:c r="A6" s="8" t="s">
        <x:v>192</x:v>
      </x:c>
      <x:c r="B6" s="8" t="s">
        <x:v>193</x:v>
      </x:c>
      <x:c r="C6" s="8" t="s">
        <x:v>194</x:v>
      </x:c>
      <x:c r="D6" s="8" t="s">
        <x:v>195</x:v>
      </x:c>
      <x:c r="E6" s="8" t="s">
        <x:v>196</x:v>
      </x:c>
      <x:c r="F6" s="8" t="s">
        <x:v>197</x:v>
      </x:c>
      <x:c r="G6" s="8" t="s">
        <x:v>198</x:v>
      </x:c>
    </x:row>
    <x:row r="7" ht="75" customHeight="1">
      <x:c r="A7" s="9" t="s">
        <x:v>199</x:v>
      </x:c>
      <x:c r="B7" s="9" t="s">
        <x:v>200</x:v>
      </x:c>
      <x:c r="C7" s="9" t="s">
        <x:v>201</x:v>
      </x:c>
      <x:c r="D7" s="17">
        <x:v>191710</x:v>
      </x:c>
      <x:c r="E7" s="17">
        <x:v>15</x:v>
      </x:c>
      <x:c r="F7" s="9" t="s">
        <x:v>202</x:v>
      </x:c>
      <x:c r="G7" s="9" t="s">
        <x:v>44</x:v>
      </x:c>
    </x:row>
    <x:row r="8" ht="75" customHeight="1">
      <x:c r="A8" s="9" t="s">
        <x:v>203</x:v>
      </x:c>
      <x:c r="B8" s="9" t="s">
        <x:v>204</x:v>
      </x:c>
      <x:c r="C8" s="9" t="s">
        <x:v>205</x:v>
      </x:c>
      <x:c r="D8" s="17">
        <x:v>120</x:v>
      </x:c>
      <x:c r="E8" s="17">
        <x:v>7</x:v>
      </x:c>
      <x:c r="F8" s="9" t="s">
        <x:v>206</x:v>
      </x:c>
      <x:c r="G8" s="9" t="s">
        <x:v>44</x:v>
      </x:c>
    </x:row>
    <x:row r="9" ht="75" customHeight="1">
      <x:c r="A9" s="9" t="s">
        <x:v>207</x:v>
      </x:c>
      <x:c r="B9" s="9" t="s">
        <x:v>208</x:v>
      </x:c>
      <x:c r="C9" s="9" t="s">
        <x:v>209</x:v>
      </x:c>
      <x:c r="D9" s="17">
        <x:v>100</x:v>
      </x:c>
      <x:c r="E9" s="17">
        <x:v>6</x:v>
      </x:c>
      <x:c r="F9" s="9" t="s">
        <x:v>210</x:v>
      </x:c>
      <x:c r="G9" s="9" t="s">
        <x:v>44</x:v>
      </x:c>
    </x:row>
    <x:row r="10" ht="75" customHeight="1">
      <x:c r="A10" s="9" t="s">
        <x:v>211</x:v>
      </x:c>
      <x:c r="B10" s="9" t="s">
        <x:v>212</x:v>
      </x:c>
      <x:c r="C10" s="9" t="s">
        <x:v>213</x:v>
      </x:c>
      <x:c r="D10" s="17">
        <x:v>7782</x:v>
      </x:c>
      <x:c r="E10" s="17">
        <x:v>12</x:v>
      </x:c>
      <x:c r="F10" s="9" t="s">
        <x:v>214</x:v>
      </x:c>
      <x:c r="G10" s="9" t="s">
        <x:v>44</x:v>
      </x:c>
    </x:row>
    <x:row r="11" ht="75" customHeight="1">
      <x:c r="A11" s="9" t="s">
        <x:v>215</x:v>
      </x:c>
      <x:c r="B11" s="9" t="s">
        <x:v>216</x:v>
      </x:c>
      <x:c r="C11" s="9" t="s">
        <x:v>217</x:v>
      </x:c>
      <x:c r="D11" s="17">
        <x:v>144</x:v>
      </x:c>
      <x:c r="E11" s="17">
        <x:v>5</x:v>
      </x:c>
      <x:c r="F11" s="9" t="s">
        <x:v>218</x:v>
      </x:c>
      <x:c r="G11" s="9" t="s">
        <x:v>44</x:v>
      </x:c>
    </x:row>
    <x:row r="12" ht="15" customHeight="1">
      <x:c r="A12" s="9"/>
      <x:c r="B12" s="9"/>
      <x:c r="C12" s="9"/>
      <x:c r="D12" s="17"/>
      <x:c r="E12" s="17"/>
      <x:c r="F12" s="9"/>
      <x:c r="G12" s="9"/>
    </x:row>
    <x:row r="13" ht="15" customHeight="1">
      <x:c r="A13" s="9"/>
      <x:c r="B13" s="9"/>
      <x:c r="C13" s="9"/>
      <x:c r="D13" s="17"/>
      <x:c r="E13" s="17"/>
      <x:c r="F13" s="9"/>
      <x:c r="G13" s="9"/>
    </x:row>
    <x:row r="14" ht="15" customHeight="1">
      <x:c r="A14" s="9"/>
      <x:c r="B14" s="9"/>
      <x:c r="C14" s="9"/>
      <x:c r="D14" s="17"/>
      <x:c r="E14" s="17"/>
      <x:c r="F14" s="9"/>
      <x:c r="G14" s="9"/>
    </x:row>
    <x:row r="15" ht="15" customHeight="1">
      <x:c r="A15" s="9"/>
      <x:c r="B15" s="9"/>
      <x:c r="C15" s="9"/>
      <x:c r="D15" s="17"/>
      <x:c r="E15" s="17"/>
      <x:c r="F15" s="9"/>
      <x:c r="G15" s="9"/>
    </x:row>
    <x:row r="16" ht="15" customHeight="1">
      <x:c r="A16" s="9"/>
      <x:c r="B16" s="9"/>
      <x:c r="C16" s="9"/>
      <x:c r="D16" s="17"/>
      <x:c r="E16" s="17"/>
      <x:c r="F16" s="9"/>
      <x:c r="G16" s="9"/>
    </x:row>
    <x:row r="17" ht="15" customHeight="1">
      <x:c r="A17" s="9"/>
      <x:c r="B17" s="9"/>
      <x:c r="C17" s="9"/>
      <x:c r="D17" s="17"/>
      <x:c r="E17" s="17"/>
      <x:c r="F17" s="9"/>
      <x:c r="G17" s="9"/>
    </x:row>
    <x:row r="18" ht="15" customHeight="1">
      <x:c r="A18" s="9"/>
      <x:c r="B18" s="9"/>
      <x:c r="C18" s="9"/>
      <x:c r="D18" s="17"/>
      <x:c r="E18" s="17"/>
      <x:c r="F18" s="9"/>
      <x:c r="G18" s="9"/>
    </x:row>
    <x:row r="19" ht="15" customHeight="1">
      <x:c r="A19" s="9"/>
      <x:c r="B19" s="9"/>
      <x:c r="C19" s="9"/>
      <x:c r="D19" s="17"/>
      <x:c r="E19" s="17"/>
      <x:c r="F19" s="9"/>
      <x:c r="G19" s="9"/>
    </x:row>
    <x:row r="20" ht="15" customHeight="1">
      <x:c r="A20" s="9"/>
      <x:c r="B20" s="9"/>
      <x:c r="C20" s="9"/>
      <x:c r="D20" s="17"/>
      <x:c r="E20" s="17"/>
      <x:c r="F20" s="9"/>
      <x:c r="G20" s="9"/>
    </x:row>
    <x:row r="21" ht="15" customHeight="1">
      <x:c r="A21" s="9"/>
      <x:c r="B21" s="9"/>
      <x:c r="C21" s="9"/>
      <x:c r="D21" s="17"/>
      <x:c r="E21" s="17"/>
      <x:c r="F21" s="9"/>
      <x:c r="G21" s="9"/>
    </x:row>
    <x:row r="22" ht="15" customHeight="1">
      <x:c r="A22" s="9"/>
      <x:c r="B22" s="9"/>
      <x:c r="C22" s="9"/>
      <x:c r="D22" s="17"/>
      <x:c r="E22" s="17"/>
      <x:c r="F22" s="9"/>
      <x:c r="G22" s="9"/>
    </x:row>
  </x:sheetData>
  <x:mergeCells>
    <x:mergeCell ref="A3:G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24" customWidth="1"/>
    <x:col min="2" max="2" width="26" customWidth="1"/>
    <x:col min="3" max="3" width="20" customWidth="1"/>
    <x:col min="4" max="4" width="13" customWidth="1"/>
    <x:col min="5" max="5" width="16" customWidth="1"/>
    <x:col min="6" max="7" width="30" customWidth="1"/>
  </x:cols>
  <x:sheetData>
    <x:row r="1" ht="15" customHeight="1">
      <x:c r="A1" s="5" t="s">
        <x:v>219</x:v>
      </x:c>
    </x:row>
    <x:row r="2" ht="17.25" customHeight="1">
      <x:c r="A2" s="6" t="s">
        <x:v>17</x:v>
      </x:c>
    </x:row>
    <x:row r="3" ht="30" customHeight="1">
      <x:c r="A3" s="19" t="s">
        <x:v>220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B4" t="s">
        <x:v>44</x:v>
      </x:c>
      <x:c r="C4" s="7" t="s">
        <x:v>45</x:v>
      </x:c>
      <x:c r="D4" t="s">
        <x:v>46</x:v>
      </x:c>
      <x:c r="E4" s="7" t="s">
        <x:v>47</x:v>
      </x:c>
      <x:c r="F4" t="s">
        <x:v>221</x:v>
      </x:c>
    </x:row>
    <x:row r="6" ht="31.5" customHeight="1">
      <x:c r="A6" s="8" t="s">
        <x:v>222</x:v>
      </x:c>
      <x:c r="B6" s="8" t="s">
        <x:v>223</x:v>
      </x:c>
      <x:c r="C6" s="8" t="s">
        <x:v>224</x:v>
      </x:c>
      <x:c r="D6" s="8" t="s">
        <x:v>225</x:v>
      </x:c>
      <x:c r="E6" s="8" t="s">
        <x:v>226</x:v>
      </x:c>
      <x:c r="F6" s="8" t="s">
        <x:v>227</x:v>
      </x:c>
      <x:c r="G6" s="8" t="s">
        <x:v>228</x:v>
      </x:c>
    </x:row>
    <x:row r="7" ht="45" customHeight="1">
      <x:c r="A7" s="9" t="s">
        <x:v>199</x:v>
      </x:c>
      <x:c r="B7" s="9" t="s">
        <x:v>229</x:v>
      </x:c>
      <x:c r="C7" s="9" t="s">
        <x:v>230</x:v>
      </x:c>
      <x:c r="D7" s="9" t="s">
        <x:v>231</x:v>
      </x:c>
      <x:c r="E7" s="9" t="s">
        <x:v>232</x:v>
      </x:c>
      <x:c r="F7" s="9" t="s">
        <x:v>233</x:v>
      </x:c>
      <x:c r="G7" s="9" t="s">
        <x:v>234</x:v>
      </x:c>
    </x:row>
    <x:row r="8" ht="45" customHeight="1">
      <x:c r="A8" s="9" t="s">
        <x:v>203</x:v>
      </x:c>
      <x:c r="B8" s="9" t="s">
        <x:v>235</x:v>
      </x:c>
      <x:c r="C8" s="9" t="s">
        <x:v>236</x:v>
      </x:c>
      <x:c r="D8" s="9" t="s">
        <x:v>237</x:v>
      </x:c>
      <x:c r="E8" s="9" t="s">
        <x:v>232</x:v>
      </x:c>
      <x:c r="F8" s="9" t="s">
        <x:v>238</x:v>
      </x:c>
      <x:c r="G8" s="9" t="s">
        <x:v>239</x:v>
      </x:c>
    </x:row>
    <x:row r="9" ht="45" customHeight="1">
      <x:c r="A9" s="9" t="s">
        <x:v>207</x:v>
      </x:c>
      <x:c r="B9" s="9" t="s">
        <x:v>240</x:v>
      </x:c>
      <x:c r="C9" s="9" t="s">
        <x:v>241</x:v>
      </x:c>
      <x:c r="D9" s="9" t="s">
        <x:v>237</x:v>
      </x:c>
      <x:c r="E9" s="9" t="s">
        <x:v>232</x:v>
      </x:c>
      <x:c r="F9" s="9" t="s">
        <x:v>242</x:v>
      </x:c>
      <x:c r="G9" s="9" t="s">
        <x:v>243</x:v>
      </x:c>
    </x:row>
    <x:row r="10" ht="150" customHeight="1">
      <x:c r="A10" s="9" t="s">
        <x:v>211</x:v>
      </x:c>
      <x:c r="B10" s="9" t="s">
        <x:v>244</x:v>
      </x:c>
      <x:c r="C10" s="9" t="s">
        <x:v>245</x:v>
      </x:c>
      <x:c r="D10" s="9" t="s">
        <x:v>246</x:v>
      </x:c>
      <x:c r="E10" s="9" t="s">
        <x:v>232</x:v>
      </x:c>
      <x:c r="F10" s="9" t="s">
        <x:v>247</x:v>
      </x:c>
      <x:c r="G10" s="9" t="s">
        <x:v>248</x:v>
      </x:c>
    </x:row>
    <x:row r="11" ht="45" customHeight="1">
      <x:c r="A11" s="9" t="s">
        <x:v>215</x:v>
      </x:c>
      <x:c r="B11" s="9" t="s">
        <x:v>249</x:v>
      </x:c>
      <x:c r="C11" s="9" t="s">
        <x:v>250</x:v>
      </x:c>
      <x:c r="D11" s="9" t="s">
        <x:v>251</x:v>
      </x:c>
      <x:c r="E11" s="9" t="s">
        <x:v>232</x:v>
      </x:c>
      <x:c r="F11" s="9" t="s">
        <x:v>252</x:v>
      </x:c>
      <x:c r="G11" s="9" t="s">
        <x:v>253</x:v>
      </x:c>
    </x:row>
    <x:row r="12" ht="15" customHeight="1">
      <x:c r="A12" s="9"/>
      <x:c r="B12" s="9"/>
      <x:c r="C12" s="9"/>
      <x:c r="D12" s="9"/>
      <x:c r="E12" s="9"/>
      <x:c r="F12" s="9"/>
      <x:c r="G12" s="9"/>
    </x:row>
    <x:row r="13" ht="15" customHeight="1">
      <x:c r="A13" s="9"/>
      <x:c r="B13" s="9"/>
      <x:c r="C13" s="9"/>
      <x:c r="D13" s="9"/>
      <x:c r="E13" s="9"/>
      <x:c r="F13" s="9"/>
      <x:c r="G13" s="9"/>
    </x:row>
    <x:row r="14" ht="15" customHeight="1">
      <x:c r="A14" s="9"/>
      <x:c r="B14" s="9"/>
      <x:c r="C14" s="9"/>
      <x:c r="D14" s="9"/>
      <x:c r="E14" s="9"/>
      <x:c r="F14" s="9"/>
      <x:c r="G14" s="9"/>
    </x:row>
    <x:row r="15" ht="15" customHeight="1">
      <x:c r="A15" s="9"/>
      <x:c r="B15" s="9"/>
      <x:c r="C15" s="9"/>
      <x:c r="D15" s="9"/>
      <x:c r="E15" s="9"/>
      <x:c r="F15" s="9"/>
      <x:c r="G15" s="9"/>
    </x:row>
    <x:row r="16" ht="15" customHeight="1">
      <x:c r="A16" s="9"/>
      <x:c r="B16" s="9"/>
      <x:c r="C16" s="9"/>
      <x:c r="D16" s="9"/>
      <x:c r="E16" s="9"/>
      <x:c r="F16" s="9"/>
      <x:c r="G16" s="9"/>
    </x:row>
    <x:row r="17" ht="15" customHeight="1">
      <x:c r="A17" s="9"/>
      <x:c r="B17" s="9"/>
      <x:c r="C17" s="9"/>
      <x:c r="D17" s="9"/>
      <x:c r="E17" s="9"/>
      <x:c r="F17" s="9"/>
      <x:c r="G17" s="9"/>
    </x:row>
    <x:row r="18" ht="15" customHeight="1">
      <x:c r="A18" s="9"/>
      <x:c r="B18" s="9"/>
      <x:c r="C18" s="9"/>
      <x:c r="D18" s="9"/>
      <x:c r="E18" s="9"/>
      <x:c r="F18" s="9"/>
      <x:c r="G18" s="9"/>
    </x:row>
    <x:row r="19" ht="15" customHeight="1">
      <x:c r="A19" s="9"/>
      <x:c r="B19" s="9"/>
      <x:c r="C19" s="9"/>
      <x:c r="D19" s="9"/>
      <x:c r="E19" s="9"/>
      <x:c r="F19" s="9"/>
      <x:c r="G19" s="9"/>
    </x:row>
    <x:row r="20" ht="15" customHeight="1">
      <x:c r="A20" s="9"/>
      <x:c r="B20" s="9"/>
      <x:c r="C20" s="9"/>
      <x:c r="D20" s="9"/>
      <x:c r="E20" s="9"/>
      <x:c r="F20" s="9"/>
      <x:c r="G20" s="9"/>
    </x:row>
    <x:row r="21" ht="15" customHeight="1">
      <x:c r="A21" s="9"/>
      <x:c r="B21" s="9"/>
      <x:c r="C21" s="9"/>
      <x:c r="D21" s="9"/>
      <x:c r="E21" s="9"/>
      <x:c r="F21" s="9"/>
      <x:c r="G21" s="9"/>
    </x:row>
    <x:row r="22" ht="15" customHeight="1">
      <x:c r="A22" s="9"/>
      <x:c r="B22" s="9"/>
      <x:c r="C22" s="9"/>
      <x:c r="D22" s="9"/>
      <x:c r="E22" s="9"/>
      <x:c r="F22" s="9"/>
      <x:c r="G22" s="9"/>
    </x:row>
  </x:sheetData>
  <x:mergeCells>
    <x:mergeCell ref="A3:G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24" customWidth="1"/>
    <x:col min="2" max="2" width="14" customWidth="1"/>
    <x:col min="3" max="4" width="16" customWidth="1"/>
    <x:col min="5" max="5" width="9" customWidth="1"/>
    <x:col min="6" max="6" width="34" customWidth="1"/>
    <x:col min="7" max="7" width="32" customWidth="1"/>
  </x:cols>
  <x:sheetData>
    <x:row r="1" ht="15" customHeight="1">
      <x:c r="A1" s="5" t="s">
        <x:v>254</x:v>
      </x:c>
    </x:row>
    <x:row r="2" ht="17.25" customHeight="1">
      <x:c r="A2" s="6" t="s">
        <x:v>20</x:v>
      </x:c>
    </x:row>
    <x:row r="3" ht="30" customHeight="1">
      <x:c r="A3" s="19" t="s">
        <x:v>255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B4" t="str">
        <x:v>Grupo 06</x:v>
      </x:c>
      <x:c r="C4" s="7" t="s">
        <x:v>45</x:v>
      </x:c>
      <x:c r="D4" t="str">
        <x:v>03B</x:v>
      </x:c>
      <x:c r="E4" s="7" t="s">
        <x:v>47</x:v>
      </x:c>
      <x:c r="F4" t="str">
        <x:v>2026-10-28</x:v>
      </x:c>
    </x:row>
    <x:row r="6" ht="31.5" customHeight="1">
      <x:c r="A6" s="8" t="s">
        <x:v>256</x:v>
      </x:c>
      <x:c r="B6" s="8" t="s">
        <x:v>257</x:v>
      </x:c>
      <x:c r="C6" s="8" t="s">
        <x:v>258</x:v>
      </x:c>
      <x:c r="D6" s="8" t="s">
        <x:v>259</x:v>
      </x:c>
      <x:c r="E6" s="8" t="s">
        <x:v>195</x:v>
      </x:c>
      <x:c r="F6" s="8" t="s">
        <x:v>260</x:v>
      </x:c>
      <x:c r="G6" s="8" t="s">
        <x:v>261</x:v>
      </x:c>
    </x:row>
    <x:row r="7" ht="54" customHeight="1">
      <x:c r="A7" s="29" t="str">
        <x:v>andinalog_iot_telemetry_silver.csv</x:v>
      </x:c>
      <x:c r="B7" s="29" t="str">
        <x:v>Texto/CSV</x:v>
      </x:c>
      <x:c r="C7" s="29" t="str">
        <x:v>RutaSilver</x:v>
      </x:c>
      <x:c r="D7" s="29" t="str">
        <x:v>Organizacional</x:v>
      </x:c>
      <x:c r="E7" s="30" t="n">
        <x:v>191710</x:v>
      </x:c>
      <x:c r="F7" s="29" t="str">
        <x:v>26 lecturas límite no reproducen la regla estricta &gt;</x:v>
      </x:c>
      <x:c r="G7" s="29" t="str">
        <x:v>Conservar etiquetas; probar &gt;, &gt;= y redondeo</x:v>
      </x:c>
    </x:row>
    <x:row r="8" ht="54" customHeight="1">
      <x:c r="A8" s="29" t="str">
        <x:v>andinalog_productos_silver.csv</x:v>
      </x:c>
      <x:c r="B8" s="29" t="str">
        <x:v>Texto/CSV</x:v>
      </x:c>
      <x:c r="C8" s="29" t="str">
        <x:v>RutaSilver</x:v>
      </x:c>
      <x:c r="D8" s="29" t="str">
        <x:v>Organizacional</x:v>
      </x:c>
      <x:c r="E8" s="30" t="n">
        <x:v>120</x:v>
      </x:c>
      <x:c r="F8" s="29" t="str">
        <x:v>70 de 120 productos aparecen en Telemetria</x:v>
      </x:c>
      <x:c r="G8" s="29" t="str">
        <x:v>No eliminar; tratar como cobertura referencial</x:v>
      </x:c>
    </x:row>
    <x:row r="9" ht="54" customHeight="1">
      <x:c r="A9" s="29" t="str">
        <x:v>andinalog_flota_silver.csv</x:v>
      </x:c>
      <x:c r="B9" s="29" t="str">
        <x:v>Texto/CSV</x:v>
      </x:c>
      <x:c r="C9" s="29" t="str">
        <x:v>RutaSilver</x:v>
      </x:c>
      <x:c r="D9" s="29" t="str">
        <x:v>Organizacional</x:v>
      </x:c>
      <x:c r="E9" s="30" t="n">
        <x:v>100</x:v>
      </x:c>
      <x:c r="F9" s="29" t="str">
        <x:v>Sin definición validada de centro base</x:v>
      </x:c>
      <x:c r="G9" s="29" t="str">
        <x:v>No equiparar a centro operativo; solicitar definición</x:v>
      </x:c>
    </x:row>
    <x:row r="10" ht="54" customHeight="1">
      <x:c r="A10" s="29" t="str">
        <x:v>andinalog_inventory_tracking_silver.csv</x:v>
      </x:c>
      <x:c r="B10" s="29" t="str">
        <x:v>Texto/CSV</x:v>
      </x:c>
      <x:c r="C10" s="29" t="str">
        <x:v>RutaSilver</x:v>
      </x:c>
      <x:c r="D10" s="29" t="str">
        <x:v>Organizacional</x:v>
      </x:c>
      <x:c r="E10" s="30" t="n">
        <x:v>7782</x:v>
      </x:c>
      <x:c r="F10" s="29" t="str">
        <x:v>fecha_salida completa; las fechas incluyen hora</x:v>
      </x:c>
      <x:c r="G10" s="29" t="str">
        <x:v>Conservar fecha-hora; derivar fecha posteriormente</x:v>
      </x:c>
    </x:row>
    <x:row r="11" ht="54" customHeight="1">
      <x:c r="A11" s="29" t="str">
        <x:v>andinalog_warehouse_costs_silver.csv</x:v>
      </x:c>
      <x:c r="B11" s="29" t="str">
        <x:v>Texto/CSV</x:v>
      </x:c>
      <x:c r="C11" s="29" t="str">
        <x:v>RutaSilver</x:v>
      </x:c>
      <x:c r="D11" s="29" t="str">
        <x:v>Organizacional</x:v>
      </x:c>
      <x:c r="E11" s="30" t="n">
        <x:v>144</x:v>
      </x:c>
      <x:c r="F11" s="29" t="str">
        <x:v>Relación temporal de periodo_mes pendiente</x:v>
      </x:c>
      <x:c r="G11" s="29" t="str">
        <x:v>Validar clave centro-periodo antes de relacionar</x:v>
      </x:c>
    </x:row>
    <x:row r="12" ht="15" customHeight="1">
      <x:c r="A12" s="9"/>
      <x:c r="B12" s="9"/>
      <x:c r="C12" s="9"/>
      <x:c r="D12" s="9"/>
      <x:c r="E12" s="17"/>
      <x:c r="F12" s="9"/>
      <x:c r="G12" s="9"/>
    </x:row>
    <x:row r="13" ht="15" customHeight="1">
      <x:c r="A13" s="9"/>
      <x:c r="B13" s="9"/>
      <x:c r="C13" s="9"/>
      <x:c r="D13" s="9"/>
      <x:c r="E13" s="17"/>
      <x:c r="F13" s="9"/>
      <x:c r="G13" s="9"/>
    </x:row>
    <x:row r="14" ht="15" customHeight="1">
      <x:c r="A14" s="9"/>
      <x:c r="B14" s="9"/>
      <x:c r="C14" s="9"/>
      <x:c r="D14" s="9"/>
      <x:c r="E14" s="17"/>
      <x:c r="F14" s="9"/>
      <x:c r="G14" s="9"/>
    </x:row>
    <x:row r="15" ht="15" customHeight="1">
      <x:c r="A15" s="9"/>
      <x:c r="B15" s="9"/>
      <x:c r="C15" s="9"/>
      <x:c r="D15" s="9"/>
      <x:c r="E15" s="17"/>
      <x:c r="F15" s="9"/>
      <x:c r="G15" s="9"/>
    </x:row>
    <x:row r="16" ht="15" customHeight="1">
      <x:c r="A16" s="9"/>
      <x:c r="B16" s="9"/>
      <x:c r="C16" s="9"/>
      <x:c r="D16" s="9"/>
      <x:c r="E16" s="17"/>
      <x:c r="F16" s="9"/>
      <x:c r="G16" s="9"/>
    </x:row>
    <x:row r="17" ht="15" customHeight="1">
      <x:c r="A17" s="9"/>
      <x:c r="B17" s="9"/>
      <x:c r="C17" s="9"/>
      <x:c r="D17" s="9"/>
      <x:c r="E17" s="17"/>
      <x:c r="F17" s="9"/>
      <x:c r="G17" s="9"/>
    </x:row>
    <x:row r="18" ht="15" customHeight="1">
      <x:c r="A18" s="9"/>
      <x:c r="B18" s="9"/>
      <x:c r="C18" s="9"/>
      <x:c r="D18" s="9"/>
      <x:c r="E18" s="17"/>
      <x:c r="F18" s="9"/>
      <x:c r="G18" s="9"/>
    </x:row>
    <x:row r="19" ht="15" customHeight="1">
      <x:c r="A19" s="9"/>
      <x:c r="B19" s="9"/>
      <x:c r="C19" s="9"/>
      <x:c r="D19" s="9"/>
      <x:c r="E19" s="17"/>
      <x:c r="F19" s="9"/>
      <x:c r="G19" s="9"/>
    </x:row>
    <x:row r="20" ht="15" customHeight="1">
      <x:c r="A20" s="9"/>
      <x:c r="B20" s="9"/>
      <x:c r="C20" s="9"/>
      <x:c r="D20" s="9"/>
      <x:c r="E20" s="17"/>
      <x:c r="F20" s="9"/>
      <x:c r="G20" s="9"/>
    </x:row>
    <x:row r="21" ht="15" customHeight="1">
      <x:c r="A21" s="9"/>
      <x:c r="B21" s="9"/>
      <x:c r="C21" s="9"/>
      <x:c r="D21" s="9"/>
      <x:c r="E21" s="17"/>
      <x:c r="F21" s="9"/>
      <x:c r="G21" s="9"/>
    </x:row>
    <x:row r="22" ht="15" customHeight="1">
      <x:c r="A22" s="9"/>
      <x:c r="B22" s="9"/>
      <x:c r="C22" s="9"/>
      <x:c r="D22" s="9"/>
      <x:c r="E22" s="17"/>
      <x:c r="F22" s="9"/>
      <x:c r="G22" s="9"/>
    </x:row>
  </x:sheetData>
  <x:mergeCells>
    <x:mergeCell ref="A3:G3"/>
  </x:mergeCells>
  <x:dataValidations count="1">
    <x:dataValidation type="list" allowBlank="1" sqref="D7:D22">
      <x:formula1>"Privado,Organizacional,Público"</x:formula1>
      <x:formula2>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30" customWidth="1"/>
    <x:col min="2" max="2" width="24" customWidth="1"/>
    <x:col min="3" max="3" width="11" customWidth="1"/>
    <x:col min="4" max="5" width="12" customWidth="1"/>
    <x:col min="6" max="6" width="13" customWidth="1"/>
    <x:col min="7" max="7" width="34" customWidth="1"/>
  </x:cols>
  <x:sheetData>
    <x:row r="1" ht="15" customHeight="1">
      <x:c r="A1" s="5" t="s">
        <x:v>262</x:v>
      </x:c>
    </x:row>
    <x:row r="2" ht="17.25" customHeight="1">
      <x:c r="A2" s="6" t="s">
        <x:v>23</x:v>
      </x:c>
    </x:row>
    <x:row r="3" ht="30" customHeight="1">
      <x:c r="A3" s="19" t="s">
        <x:v>263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264</x:v>
      </x:c>
      <x:c r="B6" s="8" t="s">
        <x:v>265</x:v>
      </x:c>
      <x:c r="C6" s="8" t="s">
        <x:v>266</x:v>
      </x:c>
      <x:c r="D6" s="8" t="s">
        <x:v>267</x:v>
      </x:c>
      <x:c r="E6" s="8" t="s">
        <x:v>268</x:v>
      </x:c>
      <x:c r="F6" s="8" t="s">
        <x:v>269</x:v>
      </x:c>
      <x:c r="G6" s="8" t="s">
        <x:v>270</x:v>
      </x:c>
    </x:row>
    <x:row r="7" ht="15" customHeight="1">
      <x:c r="A7" s="15" t="s">
        <x:v>271</x:v>
      </x:c>
      <x:c r="B7" s="15" t="s">
        <x:v>272</x:v>
      </x:c>
      <x:c r="C7" s="16">
        <x:v>7764</x:v>
      </x:c>
      <x:c r="D7" s="16">
        <x:v>24</x:v>
      </x:c>
      <x:c r="E7" s="16">
        <x:v>7740</x:v>
      </x:c>
      <x:c r="F7" s="15" t="s">
        <x:v>273</x:v>
      </x:c>
      <x:c r="G7" s="15" t="s">
        <x:v>274</x:v>
      </x:c>
    </x:row>
    <x:row r="8" ht="15" customHeight="1">
      <x:c r="A8" s="9"/>
      <x:c r="B8" s="9"/>
      <x:c r="C8" s="17"/>
      <x:c r="D8" s="17"/>
      <x:c r="E8" s="17"/>
      <x:c r="F8" s="9"/>
      <x:c r="G8" s="9"/>
    </x:row>
    <x:row r="9" ht="15" customHeight="1">
      <x:c r="A9" s="9"/>
      <x:c r="B9" s="9"/>
      <x:c r="C9" s="17"/>
      <x:c r="D9" s="17"/>
      <x:c r="E9" s="17"/>
      <x:c r="F9" s="9"/>
      <x:c r="G9" s="9"/>
    </x:row>
    <x:row r="10" ht="15" customHeight="1">
      <x:c r="A10" s="9"/>
      <x:c r="B10" s="9"/>
      <x:c r="C10" s="17"/>
      <x:c r="D10" s="17"/>
      <x:c r="E10" s="17"/>
      <x:c r="F10" s="9"/>
      <x:c r="G10" s="9"/>
    </x:row>
    <x:row r="11" ht="15" customHeight="1">
      <x:c r="A11" s="9"/>
      <x:c r="B11" s="9"/>
      <x:c r="C11" s="17"/>
      <x:c r="D11" s="17"/>
      <x:c r="E11" s="17"/>
      <x:c r="F11" s="9"/>
      <x:c r="G11" s="9"/>
    </x:row>
    <x:row r="12" ht="15" customHeight="1">
      <x:c r="A12" s="9"/>
      <x:c r="B12" s="9"/>
      <x:c r="C12" s="17"/>
      <x:c r="D12" s="17"/>
      <x:c r="E12" s="17"/>
      <x:c r="F12" s="9"/>
      <x:c r="G12" s="9"/>
    </x:row>
    <x:row r="13" ht="15" customHeight="1">
      <x:c r="A13" s="9"/>
      <x:c r="B13" s="9"/>
      <x:c r="C13" s="17"/>
      <x:c r="D13" s="17"/>
      <x:c r="E13" s="17"/>
      <x:c r="F13" s="9"/>
      <x:c r="G13" s="9"/>
    </x:row>
    <x:row r="14" ht="15" customHeight="1">
      <x:c r="A14" s="9"/>
      <x:c r="B14" s="9"/>
      <x:c r="C14" s="17"/>
      <x:c r="D14" s="17"/>
      <x:c r="E14" s="17"/>
      <x:c r="F14" s="9"/>
      <x:c r="G14" s="9"/>
    </x:row>
    <x:row r="15" ht="15" customHeight="1">
      <x:c r="A15" s="9"/>
      <x:c r="B15" s="9"/>
      <x:c r="C15" s="17"/>
      <x:c r="D15" s="17"/>
      <x:c r="E15" s="17"/>
      <x:c r="F15" s="9"/>
      <x:c r="G15" s="9"/>
    </x:row>
    <x:row r="16" ht="15" customHeight="1">
      <x:c r="A16" s="9"/>
      <x:c r="B16" s="9"/>
      <x:c r="C16" s="17"/>
      <x:c r="D16" s="17"/>
      <x:c r="E16" s="17"/>
      <x:c r="F16" s="9"/>
      <x:c r="G16" s="9"/>
    </x:row>
    <x:row r="17" ht="15" customHeight="1">
      <x:c r="A17" s="9"/>
      <x:c r="B17" s="9"/>
      <x:c r="C17" s="17"/>
      <x:c r="D17" s="17"/>
      <x:c r="E17" s="17"/>
      <x:c r="F17" s="9"/>
      <x:c r="G17" s="9"/>
    </x:row>
    <x:row r="18" ht="15" customHeight="1">
      <x:c r="A18" s="9"/>
      <x:c r="B18" s="9"/>
      <x:c r="C18" s="17"/>
      <x:c r="D18" s="17"/>
      <x:c r="E18" s="17"/>
      <x:c r="F18" s="9"/>
      <x:c r="G18" s="9"/>
    </x:row>
    <x:row r="19" ht="15" customHeight="1">
      <x:c r="A19" s="9"/>
      <x:c r="B19" s="9"/>
      <x:c r="C19" s="17"/>
      <x:c r="D19" s="17"/>
      <x:c r="E19" s="17"/>
      <x:c r="F19" s="9"/>
      <x:c r="G19" s="9"/>
    </x:row>
    <x:row r="20" ht="15" customHeight="1">
      <x:c r="A20" s="9"/>
      <x:c r="B20" s="9"/>
      <x:c r="C20" s="17"/>
      <x:c r="D20" s="17"/>
      <x:c r="E20" s="17"/>
      <x:c r="F20" s="9"/>
      <x:c r="G20" s="9"/>
    </x:row>
    <x:row r="21" ht="15" customHeight="1">
      <x:c r="A21" s="9"/>
      <x:c r="B21" s="9"/>
      <x:c r="C21" s="17"/>
      <x:c r="D21" s="17"/>
      <x:c r="E21" s="17"/>
      <x:c r="F21" s="9"/>
      <x:c r="G21" s="9"/>
    </x:row>
    <x:row r="22" ht="15" customHeight="1">
      <x:c r="A22" s="9"/>
      <x:c r="B22" s="9"/>
      <x:c r="C22" s="17"/>
      <x:c r="D22" s="17"/>
      <x:c r="E22" s="17"/>
      <x:c r="F22" s="9"/>
      <x:c r="G22" s="9"/>
    </x:row>
  </x:sheetData>
  <x:mergeCells>
    <x:mergeCell ref="A3:G3"/>
  </x:mergeCells>
  <x:dataValidations count="1">
    <x:dataValidation type="list" allowBlank="1" sqref="F7:F22">
      <x:formula1>"Corregir,Marcar,Excluir,Enmascarar"</x:formula1>
      <x:formula2>0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22" customWidth="1"/>
    <x:col min="2" max="2" width="12" customWidth="1"/>
    <x:col min="3" max="3" width="30" customWidth="1"/>
    <x:col min="4" max="4" width="18" customWidth="1"/>
    <x:col min="5" max="5" width="20" customWidth="1"/>
    <x:col min="6" max="6" width="13" customWidth="1"/>
    <x:col min="7" max="7" width="12" customWidth="1"/>
    <x:col min="8" max="8" width="34" customWidth="1"/>
  </x:cols>
  <x:sheetData>
    <x:row r="1" ht="15" customHeight="1">
      <x:c r="A1" s="5" t="s">
        <x:v>275</x:v>
      </x:c>
    </x:row>
    <x:row r="2" ht="17.25" customHeight="1">
      <x:c r="A2" s="6" t="s">
        <x:v>26</x:v>
      </x:c>
    </x:row>
    <x:row r="3" ht="30" customHeight="1">
      <x:c r="A3" s="19" t="s">
        <x:v>276</x:v>
      </x:c>
      <x:c r="B3" s="20"/>
      <x:c r="C3" s="20"/>
      <x:c r="D3" s="20"/>
      <x:c r="E3" s="20"/>
      <x:c r="F3" s="20"/>
      <x:c r="G3" s="20"/>
      <x:c r="H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277</x:v>
      </x:c>
      <x:c r="B6" s="8" t="s">
        <x:v>278</x:v>
      </x:c>
      <x:c r="C6" s="8" t="s">
        <x:v>279</x:v>
      </x:c>
      <x:c r="D6" s="8" t="s">
        <x:v>280</x:v>
      </x:c>
      <x:c r="E6" s="8" t="s">
        <x:v>281</x:v>
      </x:c>
      <x:c r="F6" s="8" t="s">
        <x:v>282</x:v>
      </x:c>
      <x:c r="G6" s="8" t="s">
        <x:v>283</x:v>
      </x:c>
      <x:c r="H6" s="8" t="s">
        <x:v>284</x:v>
      </x:c>
    </x:row>
    <x:row r="7" ht="27.75" customHeight="1">
      <x:c r="A7" s="15" t="s">
        <x:v>285</x:v>
      </x:c>
      <x:c r="B7" s="15" t="s">
        <x:v>286</x:v>
      </x:c>
      <x:c r="C7" s="15" t="s">
        <x:v>287</x:v>
      </x:c>
      <x:c r="D7" s="15" t="s">
        <x:v>288</x:v>
      </x:c>
      <x:c r="E7" s="15" t="s">
        <x:v>289</x:v>
      </x:c>
      <x:c r="F7" s="15" t="s">
        <x:v>290</x:v>
      </x:c>
      <x:c r="G7" s="15" t="s">
        <x:v>291</x:v>
      </x:c>
      <x:c r="H7" s="15" t="s">
        <x:v>292</x:v>
      </x:c>
    </x:row>
    <x:row r="8" ht="15" customHeight="1">
      <x:c r="A8" s="9"/>
      <x:c r="B8" s="9"/>
      <x:c r="C8" s="9"/>
      <x:c r="D8" s="9"/>
      <x:c r="E8" s="9"/>
      <x:c r="F8" s="9"/>
      <x:c r="G8" s="9"/>
      <x:c r="H8" s="9"/>
    </x:row>
    <x:row r="9" ht="15" customHeight="1">
      <x:c r="A9" s="9"/>
      <x:c r="B9" s="9"/>
      <x:c r="C9" s="9"/>
      <x:c r="D9" s="9"/>
      <x:c r="E9" s="9"/>
      <x:c r="F9" s="9"/>
      <x:c r="G9" s="9"/>
      <x:c r="H9" s="9"/>
    </x:row>
    <x:row r="10" ht="15" customHeight="1">
      <x:c r="A10" s="9"/>
      <x:c r="B10" s="9"/>
      <x:c r="C10" s="9"/>
      <x:c r="D10" s="9"/>
      <x:c r="E10" s="9"/>
      <x:c r="F10" s="9"/>
      <x:c r="G10" s="9"/>
      <x:c r="H10" s="9"/>
    </x:row>
    <x:row r="11" ht="15" customHeight="1">
      <x:c r="A11" s="9"/>
      <x:c r="B11" s="9"/>
      <x:c r="C11" s="9"/>
      <x:c r="D11" s="9"/>
      <x:c r="E11" s="9"/>
      <x:c r="F11" s="9"/>
      <x:c r="G11" s="9"/>
      <x:c r="H11" s="9"/>
    </x:row>
    <x:row r="12" ht="15" customHeight="1">
      <x:c r="A12" s="9"/>
      <x:c r="B12" s="9"/>
      <x:c r="C12" s="9"/>
      <x:c r="D12" s="9"/>
      <x:c r="E12" s="9"/>
      <x:c r="F12" s="9"/>
      <x:c r="G12" s="9"/>
      <x:c r="H12" s="9"/>
    </x:row>
    <x:row r="13" ht="15" customHeight="1">
      <x:c r="A13" s="9"/>
      <x:c r="B13" s="9"/>
      <x:c r="C13" s="9"/>
      <x:c r="D13" s="9"/>
      <x:c r="E13" s="9"/>
      <x:c r="F13" s="9"/>
      <x:c r="G13" s="9"/>
      <x:c r="H13" s="9"/>
    </x:row>
    <x:row r="14" ht="15" customHeight="1">
      <x:c r="A14" s="9"/>
      <x:c r="B14" s="9"/>
      <x:c r="C14" s="9"/>
      <x:c r="D14" s="9"/>
      <x:c r="E14" s="9"/>
      <x:c r="F14" s="9"/>
      <x:c r="G14" s="9"/>
      <x:c r="H14" s="9"/>
    </x:row>
    <x:row r="15" ht="15" customHeight="1">
      <x:c r="A15" s="9"/>
      <x:c r="B15" s="9"/>
      <x:c r="C15" s="9"/>
      <x:c r="D15" s="9"/>
      <x:c r="E15" s="9"/>
      <x:c r="F15" s="9"/>
      <x:c r="G15" s="9"/>
      <x:c r="H15" s="9"/>
    </x:row>
    <x:row r="16" ht="15" customHeight="1">
      <x:c r="A16" s="9"/>
      <x:c r="B16" s="9"/>
      <x:c r="C16" s="9"/>
      <x:c r="D16" s="9"/>
      <x:c r="E16" s="9"/>
      <x:c r="F16" s="9"/>
      <x:c r="G16" s="9"/>
      <x:c r="H16" s="9"/>
    </x:row>
    <x:row r="17" ht="15" customHeight="1">
      <x:c r="A17" s="9"/>
      <x:c r="B17" s="9"/>
      <x:c r="C17" s="9"/>
      <x:c r="D17" s="9"/>
      <x:c r="E17" s="9"/>
      <x:c r="F17" s="9"/>
      <x:c r="G17" s="9"/>
      <x:c r="H17" s="9"/>
    </x:row>
    <x:row r="18" ht="15" customHeight="1">
      <x:c r="A18" s="9"/>
      <x:c r="B18" s="9"/>
      <x:c r="C18" s="9"/>
      <x:c r="D18" s="9"/>
      <x:c r="E18" s="9"/>
      <x:c r="F18" s="9"/>
      <x:c r="G18" s="9"/>
      <x:c r="H18" s="9"/>
    </x:row>
    <x:row r="19" ht="15" customHeight="1">
      <x:c r="A19" s="9"/>
      <x:c r="B19" s="9"/>
      <x:c r="C19" s="9"/>
      <x:c r="D19" s="9"/>
      <x:c r="E19" s="9"/>
      <x:c r="F19" s="9"/>
      <x:c r="G19" s="9"/>
      <x:c r="H19" s="9"/>
    </x:row>
    <x:row r="20" ht="15" customHeight="1">
      <x:c r="A20" s="9"/>
      <x:c r="B20" s="9"/>
      <x:c r="C20" s="9"/>
      <x:c r="D20" s="9"/>
      <x:c r="E20" s="9"/>
      <x:c r="F20" s="9"/>
      <x:c r="G20" s="9"/>
      <x:c r="H20" s="9"/>
    </x:row>
    <x:row r="21" ht="15" customHeight="1">
      <x:c r="A21" s="9"/>
      <x:c r="B21" s="9"/>
      <x:c r="C21" s="9"/>
      <x:c r="D21" s="9"/>
      <x:c r="E21" s="9"/>
      <x:c r="F21" s="9"/>
      <x:c r="G21" s="9"/>
      <x:c r="H21" s="9"/>
    </x:row>
    <x:row r="22" ht="15" customHeight="1">
      <x:c r="A22" s="9"/>
      <x:c r="B22" s="9"/>
      <x:c r="C22" s="9"/>
      <x:c r="D22" s="9"/>
      <x:c r="E22" s="9"/>
      <x:c r="F22" s="9"/>
      <x:c r="G22" s="9"/>
      <x:c r="H22" s="9"/>
    </x:row>
  </x:sheetData>
  <x:mergeCells>
    <x:mergeCell ref="A3:H3"/>
  </x:mergeCells>
  <x:dataValidations count="3">
    <x:dataValidation type="list" allowBlank="1" sqref="B7:B22">
      <x:formula1>"Hecho,Dimensión,Desconectada,Excepciones"</x:formula1>
      <x:formula2>0</x:formula2>
    </x:dataValidation>
    <x:dataValidation type="list" allowBlank="1" sqref="F7:F22">
      <x:formula1>"Varios a uno,Uno a uno,Varios a varios"</x:formula1>
      <x:formula2>0</x:formula2>
    </x:dataValidation>
    <x:dataValidation type="list" allowBlank="1" sqref="G7:G22">
      <x:formula1>"Única,Ambas"</x:formula1>
      <x:formula2>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20" customWidth="1"/>
    <x:col min="2" max="2" width="22" customWidth="1"/>
    <x:col min="3" max="3" width="32" customWidth="1"/>
    <x:col min="4" max="5" width="14" customWidth="1"/>
    <x:col min="6" max="6" width="11" customWidth="1"/>
    <x:col min="7" max="7" width="34" customWidth="1"/>
  </x:cols>
  <x:sheetData>
    <x:row r="1" ht="15" customHeight="1">
      <x:c r="A1" s="5" t="s">
        <x:v>293</x:v>
      </x:c>
    </x:row>
    <x:row r="2" ht="17.25" customHeight="1">
      <x:c r="A2" s="6" t="s">
        <x:v>29</x:v>
      </x:c>
    </x:row>
    <x:row r="3" ht="30" customHeight="1">
      <x:c r="A3" s="19" t="s">
        <x:v>294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295</x:v>
      </x:c>
      <x:c r="B6" s="8" t="s">
        <x:v>296</x:v>
      </x:c>
      <x:c r="C6" s="8" t="s">
        <x:v>297</x:v>
      </x:c>
      <x:c r="D6" s="8" t="s">
        <x:v>298</x:v>
      </x:c>
      <x:c r="E6" s="8" t="s">
        <x:v>299</x:v>
      </x:c>
      <x:c r="F6" s="8" t="s">
        <x:v>300</x:v>
      </x:c>
      <x:c r="G6" s="8" t="s">
        <x:v>301</x:v>
      </x:c>
    </x:row>
    <x:row r="7" ht="15" customHeight="1">
      <x:c r="A7" s="15" t="s">
        <x:v>302</x:v>
      </x:c>
      <x:c r="B7" s="15" t="s">
        <x:v>302</x:v>
      </x:c>
      <x:c r="C7" s="15" t="s">
        <x:v>303</x:v>
      </x:c>
      <x:c r="D7" s="18">
        <x:v>0.77700000000000002</x:v>
      </x:c>
      <x:c r="E7" s="18">
        <x:v>0.77700000000000002</x:v>
      </x:c>
      <x:c r="F7" s="15" t="str">
        <x:f t="shared" ref="F7:F22" si="0">IF(OR(D7="",E7=""),"",IF(ABS(D7-E7)&lt;0.0005,"Sí","No"))</x:f>
        <x:v>Sí</x:v>
      </x:c>
      <x:c r="G7" s="15"/>
    </x:row>
    <x:row r="8" ht="15" customHeight="1">
      <x:c r="A8" s="9"/>
      <x:c r="B8" s="9"/>
      <x:c r="C8" s="9"/>
      <x:c r="D8" s="10"/>
      <x:c r="E8" s="10"/>
      <x:c r="F8" s="9" t="str">
        <x:f t="shared" si="0"/>
      </x:c>
      <x:c r="G8" s="9"/>
    </x:row>
    <x:row r="9" ht="15" customHeight="1">
      <x:c r="A9" s="9"/>
      <x:c r="B9" s="9"/>
      <x:c r="C9" s="9"/>
      <x:c r="D9" s="10"/>
      <x:c r="E9" s="10"/>
      <x:c r="F9" s="9" t="str">
        <x:f t="shared" si="0"/>
      </x:c>
      <x:c r="G9" s="9"/>
    </x:row>
    <x:row r="10" ht="15" customHeight="1">
      <x:c r="A10" s="9"/>
      <x:c r="B10" s="9"/>
      <x:c r="C10" s="9"/>
      <x:c r="D10" s="10"/>
      <x:c r="E10" s="10"/>
      <x:c r="F10" s="9" t="str">
        <x:f t="shared" si="0"/>
      </x:c>
      <x:c r="G10" s="9"/>
    </x:row>
    <x:row r="11" ht="15" customHeight="1">
      <x:c r="A11" s="9"/>
      <x:c r="B11" s="9"/>
      <x:c r="C11" s="9"/>
      <x:c r="D11" s="10"/>
      <x:c r="E11" s="10"/>
      <x:c r="F11" s="9" t="str">
        <x:f t="shared" si="0"/>
      </x:c>
      <x:c r="G11" s="9"/>
    </x:row>
    <x:row r="12" ht="15" customHeight="1">
      <x:c r="A12" s="9"/>
      <x:c r="B12" s="9"/>
      <x:c r="C12" s="9"/>
      <x:c r="D12" s="10"/>
      <x:c r="E12" s="10"/>
      <x:c r="F12" s="9" t="str">
        <x:f t="shared" si="0"/>
      </x:c>
      <x:c r="G12" s="9"/>
    </x:row>
    <x:row r="13" ht="15" customHeight="1">
      <x:c r="A13" s="9"/>
      <x:c r="B13" s="9"/>
      <x:c r="C13" s="9"/>
      <x:c r="D13" s="10"/>
      <x:c r="E13" s="10"/>
      <x:c r="F13" s="9" t="str">
        <x:f t="shared" si="0"/>
      </x:c>
      <x:c r="G13" s="9"/>
    </x:row>
    <x:row r="14" ht="15" customHeight="1">
      <x:c r="A14" s="9"/>
      <x:c r="B14" s="9"/>
      <x:c r="C14" s="9"/>
      <x:c r="D14" s="10"/>
      <x:c r="E14" s="10"/>
      <x:c r="F14" s="9" t="str">
        <x:f t="shared" si="0"/>
      </x:c>
      <x:c r="G14" s="9"/>
    </x:row>
    <x:row r="15" ht="15" customHeight="1">
      <x:c r="A15" s="9"/>
      <x:c r="B15" s="9"/>
      <x:c r="C15" s="9"/>
      <x:c r="D15" s="10"/>
      <x:c r="E15" s="10"/>
      <x:c r="F15" s="9" t="str">
        <x:f t="shared" si="0"/>
      </x:c>
      <x:c r="G15" s="9"/>
    </x:row>
    <x:row r="16" ht="15" customHeight="1">
      <x:c r="A16" s="9"/>
      <x:c r="B16" s="9"/>
      <x:c r="C16" s="9"/>
      <x:c r="D16" s="10"/>
      <x:c r="E16" s="10"/>
      <x:c r="F16" s="9" t="str">
        <x:f t="shared" si="0"/>
      </x:c>
      <x:c r="G16" s="9"/>
    </x:row>
    <x:row r="17" ht="15" customHeight="1">
      <x:c r="A17" s="9"/>
      <x:c r="B17" s="9"/>
      <x:c r="C17" s="9"/>
      <x:c r="D17" s="10"/>
      <x:c r="E17" s="10"/>
      <x:c r="F17" s="9" t="str">
        <x:f t="shared" si="0"/>
      </x:c>
      <x:c r="G17" s="9"/>
    </x:row>
    <x:row r="18" ht="15" customHeight="1">
      <x:c r="A18" s="9"/>
      <x:c r="B18" s="9"/>
      <x:c r="C18" s="9"/>
      <x:c r="D18" s="10"/>
      <x:c r="E18" s="10"/>
      <x:c r="F18" s="9" t="str">
        <x:f t="shared" si="0"/>
      </x:c>
      <x:c r="G18" s="9"/>
    </x:row>
    <x:row r="19" ht="15" customHeight="1">
      <x:c r="A19" s="9"/>
      <x:c r="B19" s="9"/>
      <x:c r="C19" s="9"/>
      <x:c r="D19" s="10"/>
      <x:c r="E19" s="10"/>
      <x:c r="F19" s="9" t="str">
        <x:f t="shared" si="0"/>
      </x:c>
      <x:c r="G19" s="9"/>
    </x:row>
    <x:row r="20" ht="15" customHeight="1">
      <x:c r="A20" s="9"/>
      <x:c r="B20" s="9"/>
      <x:c r="C20" s="9"/>
      <x:c r="D20" s="10"/>
      <x:c r="E20" s="10"/>
      <x:c r="F20" s="9" t="str">
        <x:f t="shared" si="0"/>
      </x:c>
      <x:c r="G20" s="9"/>
    </x:row>
    <x:row r="21" ht="15" customHeight="1">
      <x:c r="A21" s="9"/>
      <x:c r="B21" s="9"/>
      <x:c r="C21" s="9"/>
      <x:c r="D21" s="10"/>
      <x:c r="E21" s="10"/>
      <x:c r="F21" s="9" t="str">
        <x:f t="shared" si="0"/>
      </x:c>
      <x:c r="G21" s="9"/>
    </x:row>
    <x:row r="22" ht="15" customHeight="1">
      <x:c r="A22" s="9"/>
      <x:c r="B22" s="9"/>
      <x:c r="C22" s="9"/>
      <x:c r="D22" s="10"/>
      <x:c r="E22" s="10"/>
      <x:c r="F22" s="9" t="str">
        <x:f t="shared" si="0"/>
      </x:c>
      <x:c r="G22" s="9"/>
    </x:row>
  </x:sheetData>
  <x:mergeCells>
    <x:mergeCell ref="A3:G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18" customWidth="1"/>
    <x:col min="2" max="2" width="24" customWidth="1"/>
    <x:col min="3" max="6" width="10" customWidth="1"/>
    <x:col min="7" max="8" width="28" customWidth="1"/>
  </x:cols>
  <x:sheetData>
    <x:row r="1" ht="15" customHeight="1">
      <x:c r="A1" s="5" t="s">
        <x:v>304</x:v>
      </x:c>
    </x:row>
    <x:row r="2" ht="17.25" customHeight="1">
      <x:c r="A2" s="6" t="s">
        <x:v>32</x:v>
      </x:c>
    </x:row>
    <x:row r="3" ht="30" customHeight="1">
      <x:c r="A3" s="19" t="s">
        <x:v>305</x:v>
      </x:c>
      <x:c r="B3" s="20"/>
      <x:c r="C3" s="20"/>
      <x:c r="D3" s="20"/>
      <x:c r="E3" s="20"/>
      <x:c r="F3" s="20"/>
      <x:c r="G3" s="20"/>
      <x:c r="H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306</x:v>
      </x:c>
      <x:c r="B6" s="8" t="s">
        <x:v>307</x:v>
      </x:c>
      <x:c r="C6" s="8" t="s">
        <x:v>308</x:v>
      </x:c>
      <x:c r="D6" s="8" t="s">
        <x:v>309</x:v>
      </x:c>
      <x:c r="E6" s="8" t="s">
        <x:v>310</x:v>
      </x:c>
      <x:c r="F6" s="8" t="s">
        <x:v>311</x:v>
      </x:c>
      <x:c r="G6" s="8" t="s">
        <x:v>312</x:v>
      </x:c>
      <x:c r="H6" s="8" t="s">
        <x:v>313</x:v>
      </x:c>
    </x:row>
    <x:row r="7" ht="15" customHeight="1">
      <x:c r="A7" s="15" t="s">
        <x:v>314</x:v>
      </x:c>
      <x:c r="B7" s="15" t="s">
        <x:v>315</x:v>
      </x:c>
      <x:c r="C7" s="15" t="s">
        <x:v>316</x:v>
      </x:c>
      <x:c r="D7" s="18">
        <x:v>0.95899999999999996</x:v>
      </x:c>
      <x:c r="E7" s="18">
        <x:v>0.96899999999999997</x:v>
      </x:c>
      <x:c r="F7" s="18">
        <x:v>0.97899999999999998</x:v>
      </x:c>
      <x:c r="G7" s="15" t="s">
        <x:v>317</x:v>
      </x:c>
      <x:c r="H7" s="15" t="s">
        <x:v>318</x:v>
      </x:c>
    </x:row>
    <x:row r="8" ht="15" customHeight="1">
      <x:c r="A8" s="9"/>
      <x:c r="B8" s="9"/>
      <x:c r="C8" s="9"/>
      <x:c r="D8" s="10"/>
      <x:c r="E8" s="10"/>
      <x:c r="F8" s="10"/>
      <x:c r="G8" s="9"/>
      <x:c r="H8" s="9"/>
    </x:row>
    <x:row r="9" ht="15" customHeight="1">
      <x:c r="A9" s="9"/>
      <x:c r="B9" s="9"/>
      <x:c r="C9" s="9"/>
      <x:c r="D9" s="10"/>
      <x:c r="E9" s="10"/>
      <x:c r="F9" s="10"/>
      <x:c r="G9" s="9"/>
      <x:c r="H9" s="9"/>
    </x:row>
    <x:row r="10" ht="15" customHeight="1">
      <x:c r="A10" s="9"/>
      <x:c r="B10" s="9"/>
      <x:c r="C10" s="9"/>
      <x:c r="D10" s="10"/>
      <x:c r="E10" s="10"/>
      <x:c r="F10" s="10"/>
      <x:c r="G10" s="9"/>
      <x:c r="H10" s="9"/>
    </x:row>
    <x:row r="11" ht="15" customHeight="1">
      <x:c r="A11" s="9"/>
      <x:c r="B11" s="9"/>
      <x:c r="C11" s="9"/>
      <x:c r="D11" s="10"/>
      <x:c r="E11" s="10"/>
      <x:c r="F11" s="10"/>
      <x:c r="G11" s="9"/>
      <x:c r="H11" s="9"/>
    </x:row>
    <x:row r="12" ht="15" customHeight="1">
      <x:c r="A12" s="9"/>
      <x:c r="B12" s="9"/>
      <x:c r="C12" s="9"/>
      <x:c r="D12" s="10"/>
      <x:c r="E12" s="10"/>
      <x:c r="F12" s="10"/>
      <x:c r="G12" s="9"/>
      <x:c r="H12" s="9"/>
    </x:row>
    <x:row r="13" ht="15" customHeight="1">
      <x:c r="A13" s="9"/>
      <x:c r="B13" s="9"/>
      <x:c r="C13" s="9"/>
      <x:c r="D13" s="10"/>
      <x:c r="E13" s="10"/>
      <x:c r="F13" s="10"/>
      <x:c r="G13" s="9"/>
      <x:c r="H13" s="9"/>
    </x:row>
    <x:row r="14" ht="15" customHeight="1">
      <x:c r="A14" s="9"/>
      <x:c r="B14" s="9"/>
      <x:c r="C14" s="9"/>
      <x:c r="D14" s="10"/>
      <x:c r="E14" s="10"/>
      <x:c r="F14" s="10"/>
      <x:c r="G14" s="9"/>
      <x:c r="H14" s="9"/>
    </x:row>
    <x:row r="15" ht="15" customHeight="1">
      <x:c r="A15" s="9"/>
      <x:c r="B15" s="9"/>
      <x:c r="C15" s="9"/>
      <x:c r="D15" s="10"/>
      <x:c r="E15" s="10"/>
      <x:c r="F15" s="10"/>
      <x:c r="G15" s="9"/>
      <x:c r="H15" s="9"/>
    </x:row>
    <x:row r="16" ht="15" customHeight="1">
      <x:c r="A16" s="9"/>
      <x:c r="B16" s="9"/>
      <x:c r="C16" s="9"/>
      <x:c r="D16" s="10"/>
      <x:c r="E16" s="10"/>
      <x:c r="F16" s="10"/>
      <x:c r="G16" s="9"/>
      <x:c r="H16" s="9"/>
    </x:row>
    <x:row r="17" ht="15" customHeight="1">
      <x:c r="A17" s="9"/>
      <x:c r="B17" s="9"/>
      <x:c r="C17" s="9"/>
      <x:c r="D17" s="10"/>
      <x:c r="E17" s="10"/>
      <x:c r="F17" s="10"/>
      <x:c r="G17" s="9"/>
      <x:c r="H17" s="9"/>
    </x:row>
    <x:row r="18" ht="15" customHeight="1">
      <x:c r="A18" s="9"/>
      <x:c r="B18" s="9"/>
      <x:c r="C18" s="9"/>
      <x:c r="D18" s="10"/>
      <x:c r="E18" s="10"/>
      <x:c r="F18" s="10"/>
      <x:c r="G18" s="9"/>
      <x:c r="H18" s="9"/>
    </x:row>
    <x:row r="19" ht="15" customHeight="1">
      <x:c r="A19" s="9"/>
      <x:c r="B19" s="9"/>
      <x:c r="C19" s="9"/>
      <x:c r="D19" s="10"/>
      <x:c r="E19" s="10"/>
      <x:c r="F19" s="10"/>
      <x:c r="G19" s="9"/>
      <x:c r="H19" s="9"/>
    </x:row>
    <x:row r="20" ht="15" customHeight="1">
      <x:c r="A20" s="9"/>
      <x:c r="B20" s="9"/>
      <x:c r="C20" s="9"/>
      <x:c r="D20" s="10"/>
      <x:c r="E20" s="10"/>
      <x:c r="F20" s="10"/>
      <x:c r="G20" s="9"/>
      <x:c r="H20" s="9"/>
    </x:row>
    <x:row r="21" ht="15" customHeight="1">
      <x:c r="A21" s="9"/>
      <x:c r="B21" s="9"/>
      <x:c r="C21" s="9"/>
      <x:c r="D21" s="10"/>
      <x:c r="E21" s="10"/>
      <x:c r="F21" s="10"/>
      <x:c r="G21" s="9"/>
      <x:c r="H21" s="9"/>
    </x:row>
    <x:row r="22" ht="15" customHeight="1">
      <x:c r="A22" s="9"/>
      <x:c r="B22" s="9"/>
      <x:c r="C22" s="9"/>
      <x:c r="D22" s="10"/>
      <x:c r="E22" s="10"/>
      <x:c r="F22" s="10"/>
      <x:c r="G22" s="9"/>
      <x:c r="H22" s="9"/>
    </x:row>
  </x:sheetData>
  <x:mergeCells>
    <x:mergeCell ref="A3:H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30" customWidth="1"/>
    <x:col min="2" max="2" width="18" customWidth="1"/>
    <x:col min="3" max="3" width="30" customWidth="1"/>
    <x:col min="4" max="4" width="13" customWidth="1"/>
    <x:col min="5" max="5" width="12" customWidth="1"/>
    <x:col min="6" max="6" width="11" customWidth="1"/>
    <x:col min="7" max="7" width="30" customWidth="1"/>
  </x:cols>
  <x:sheetData>
    <x:row r="1" ht="15" customHeight="1">
      <x:c r="A1" s="5" t="s">
        <x:v>319</x:v>
      </x:c>
    </x:row>
    <x:row r="2" ht="17.25" customHeight="1">
      <x:c r="A2" s="6" t="s">
        <x:v>35</x:v>
      </x:c>
    </x:row>
    <x:row r="3" ht="30" customHeight="1">
      <x:c r="A3" s="19" t="s">
        <x:v>320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321</x:v>
      </x:c>
      <x:c r="B6" s="8" t="s">
        <x:v>322</x:v>
      </x:c>
      <x:c r="C6" s="8" t="s">
        <x:v>323</x:v>
      </x:c>
      <x:c r="D6" s="8" t="s">
        <x:v>324</x:v>
      </x:c>
      <x:c r="E6" s="8" t="s">
        <x:v>325</x:v>
      </x:c>
      <x:c r="F6" s="8" t="s">
        <x:v>326</x:v>
      </x:c>
      <x:c r="G6" s="8" t="s">
        <x:v>327</x:v>
      </x:c>
    </x:row>
    <x:row r="7" ht="15" customHeight="1">
      <x:c r="A7" s="15" t="s">
        <x:v>328</x:v>
      </x:c>
      <x:c r="B7" s="15" t="s">
        <x:v>329</x:v>
      </x:c>
      <x:c r="C7" s="15" t="s">
        <x:v>330</x:v>
      </x:c>
      <x:c r="D7" s="16">
        <x:v>645</x:v>
      </x:c>
      <x:c r="E7" s="16">
        <x:v>645</x:v>
      </x:c>
      <x:c r="F7" s="15" t="str">
        <x:f t="shared" ref="F7:F22" si="0">IF(OR(D7="",E7=""),"",IF(D7=E7,"Pasa","Falla"))</x:f>
        <x:v>Pasa</x:v>
      </x:c>
      <x:c r="G7" s="15"/>
    </x:row>
    <x:row r="8" ht="15" customHeight="1">
      <x:c r="A8" s="9"/>
      <x:c r="B8" s="9"/>
      <x:c r="C8" s="9"/>
      <x:c r="D8" s="17"/>
      <x:c r="E8" s="17"/>
      <x:c r="F8" s="9" t="str">
        <x:f t="shared" si="0"/>
      </x:c>
      <x:c r="G8" s="9"/>
    </x:row>
    <x:row r="9" ht="15" customHeight="1">
      <x:c r="A9" s="9"/>
      <x:c r="B9" s="9"/>
      <x:c r="C9" s="9"/>
      <x:c r="D9" s="17"/>
      <x:c r="E9" s="17"/>
      <x:c r="F9" s="9" t="str">
        <x:f t="shared" si="0"/>
      </x:c>
      <x:c r="G9" s="9"/>
    </x:row>
    <x:row r="10" ht="15" customHeight="1">
      <x:c r="A10" s="9"/>
      <x:c r="B10" s="9"/>
      <x:c r="C10" s="9"/>
      <x:c r="D10" s="17"/>
      <x:c r="E10" s="17"/>
      <x:c r="F10" s="9" t="str">
        <x:f t="shared" si="0"/>
      </x:c>
      <x:c r="G10" s="9"/>
    </x:row>
    <x:row r="11" ht="15" customHeight="1">
      <x:c r="A11" s="9"/>
      <x:c r="B11" s="9"/>
      <x:c r="C11" s="9"/>
      <x:c r="D11" s="17"/>
      <x:c r="E11" s="17"/>
      <x:c r="F11" s="9" t="str">
        <x:f t="shared" si="0"/>
      </x:c>
      <x:c r="G11" s="9"/>
    </x:row>
    <x:row r="12" ht="15" customHeight="1">
      <x:c r="A12" s="9"/>
      <x:c r="B12" s="9"/>
      <x:c r="C12" s="9"/>
      <x:c r="D12" s="17"/>
      <x:c r="E12" s="17"/>
      <x:c r="F12" s="9" t="str">
        <x:f t="shared" si="0"/>
      </x:c>
      <x:c r="G12" s="9"/>
    </x:row>
    <x:row r="13" ht="15" customHeight="1">
      <x:c r="A13" s="9"/>
      <x:c r="B13" s="9"/>
      <x:c r="C13" s="9"/>
      <x:c r="D13" s="17"/>
      <x:c r="E13" s="17"/>
      <x:c r="F13" s="9" t="str">
        <x:f t="shared" si="0"/>
      </x:c>
      <x:c r="G13" s="9"/>
    </x:row>
    <x:row r="14" ht="15" customHeight="1">
      <x:c r="A14" s="9"/>
      <x:c r="B14" s="9"/>
      <x:c r="C14" s="9"/>
      <x:c r="D14" s="17"/>
      <x:c r="E14" s="17"/>
      <x:c r="F14" s="9" t="str">
        <x:f t="shared" si="0"/>
      </x:c>
      <x:c r="G14" s="9"/>
    </x:row>
    <x:row r="15" ht="15" customHeight="1">
      <x:c r="A15" s="9"/>
      <x:c r="B15" s="9"/>
      <x:c r="C15" s="9"/>
      <x:c r="D15" s="17"/>
      <x:c r="E15" s="17"/>
      <x:c r="F15" s="9" t="str">
        <x:f t="shared" si="0"/>
      </x:c>
      <x:c r="G15" s="9"/>
    </x:row>
    <x:row r="16" ht="15" customHeight="1">
      <x:c r="A16" s="9"/>
      <x:c r="B16" s="9"/>
      <x:c r="C16" s="9"/>
      <x:c r="D16" s="17"/>
      <x:c r="E16" s="17"/>
      <x:c r="F16" s="9" t="str">
        <x:f t="shared" si="0"/>
      </x:c>
      <x:c r="G16" s="9"/>
    </x:row>
    <x:row r="17" ht="15" customHeight="1">
      <x:c r="A17" s="9"/>
      <x:c r="B17" s="9"/>
      <x:c r="C17" s="9"/>
      <x:c r="D17" s="17"/>
      <x:c r="E17" s="17"/>
      <x:c r="F17" s="9" t="str">
        <x:f t="shared" si="0"/>
      </x:c>
      <x:c r="G17" s="9"/>
    </x:row>
    <x:row r="18" ht="15" customHeight="1">
      <x:c r="A18" s="9"/>
      <x:c r="B18" s="9"/>
      <x:c r="C18" s="9"/>
      <x:c r="D18" s="17"/>
      <x:c r="E18" s="17"/>
      <x:c r="F18" s="9" t="str">
        <x:f t="shared" si="0"/>
      </x:c>
      <x:c r="G18" s="9"/>
    </x:row>
    <x:row r="19" ht="15" customHeight="1">
      <x:c r="A19" s="9"/>
      <x:c r="B19" s="9"/>
      <x:c r="C19" s="9"/>
      <x:c r="D19" s="17"/>
      <x:c r="E19" s="17"/>
      <x:c r="F19" s="9" t="str">
        <x:f t="shared" si="0"/>
      </x:c>
      <x:c r="G19" s="9"/>
    </x:row>
    <x:row r="20" ht="15" customHeight="1">
      <x:c r="A20" s="9"/>
      <x:c r="B20" s="9"/>
      <x:c r="C20" s="9"/>
      <x:c r="D20" s="17"/>
      <x:c r="E20" s="17"/>
      <x:c r="F20" s="9" t="str">
        <x:f t="shared" si="0"/>
      </x:c>
      <x:c r="G20" s="9"/>
    </x:row>
    <x:row r="21" ht="15" customHeight="1">
      <x:c r="A21" s="9"/>
      <x:c r="B21" s="9"/>
      <x:c r="C21" s="9"/>
      <x:c r="D21" s="17"/>
      <x:c r="E21" s="17"/>
      <x:c r="F21" s="9" t="str">
        <x:f t="shared" si="0"/>
      </x:c>
      <x:c r="G21" s="9"/>
    </x:row>
    <x:row r="22" ht="15" customHeight="1">
      <x:c r="A22" s="9"/>
      <x:c r="B22" s="9"/>
      <x:c r="C22" s="9"/>
      <x:c r="D22" s="17"/>
      <x:c r="E22" s="17"/>
      <x:c r="F22" s="9" t="str">
        <x:f t="shared" si="0"/>
      </x:c>
      <x:c r="G22" s="9"/>
    </x:row>
  </x:sheetData>
  <x:mergeCells>
    <x:mergeCell ref="A3:G3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ColWidth="8.7109375" defaultRowHeight="15"/>
  <x:cols>
    <x:col min="1" max="1" width="6" customWidth="1"/>
    <x:col min="2" max="2" width="40" customWidth="1"/>
    <x:col min="3" max="3" width="22" customWidth="1"/>
    <x:col min="4" max="4" width="32" customWidth="1"/>
    <x:col min="5" max="5" width="16" customWidth="1"/>
    <x:col min="6" max="6" width="30" customWidth="1"/>
    <x:col min="7" max="7" width="14" customWidth="1"/>
  </x:cols>
  <x:sheetData>
    <x:row r="1" ht="15" customHeight="1">
      <x:c r="A1" s="5" t="s">
        <x:v>331</x:v>
      </x:c>
    </x:row>
    <x:row r="2" ht="17.25" customHeight="1">
      <x:c r="A2" s="6" t="s">
        <x:v>38</x:v>
      </x:c>
    </x:row>
    <x:row r="3" ht="30" customHeight="1">
      <x:c r="A3" s="19" t="s">
        <x:v>332</x:v>
      </x:c>
      <x:c r="B3" s="20"/>
      <x:c r="C3" s="20"/>
      <x:c r="D3" s="20"/>
      <x:c r="E3" s="20"/>
      <x:c r="F3" s="20"/>
      <x:c r="G3" s="20"/>
    </x:row>
    <x:row r="4" ht="15" customHeight="1">
      <x:c r="A4" s="7" t="s">
        <x:v>43</x:v>
      </x:c>
      <x:c r="C4" s="7" t="s">
        <x:v>45</x:v>
      </x:c>
      <x:c r="E4" s="7" t="s">
        <x:v>47</x:v>
      </x:c>
    </x:row>
    <x:row r="6" ht="31.5" customHeight="1">
      <x:c r="A6" s="8" t="s">
        <x:v>333</x:v>
      </x:c>
      <x:c r="B6" s="8" t="s">
        <x:v>334</x:v>
      </x:c>
      <x:c r="C6" s="8" t="s">
        <x:v>335</x:v>
      </x:c>
      <x:c r="D6" s="8" t="s">
        <x:v>336</x:v>
      </x:c>
      <x:c r="E6" s="8" t="s">
        <x:v>337</x:v>
      </x:c>
      <x:c r="F6" s="8" t="s">
        <x:v>338</x:v>
      </x:c>
      <x:c r="G6" s="8" t="s">
        <x:v>339</x:v>
      </x:c>
    </x:row>
    <x:row r="7" ht="27.75" customHeight="1">
      <x:c r="A7" s="16">
        <x:v>1</x:v>
      </x:c>
      <x:c r="B7" s="15" t="s">
        <x:v>340</x:v>
      </x:c>
      <x:c r="C7" s="15" t="s">
        <x:v>341</x:v>
      </x:c>
      <x:c r="D7" s="15" t="s">
        <x:v>342</x:v>
      </x:c>
      <x:c r="E7" s="15" t="s">
        <x:v>343</x:v>
      </x:c>
      <x:c r="F7" s="15" t="s">
        <x:v>344</x:v>
      </x:c>
      <x:c r="G7" s="15" t="s">
        <x:v>345</x:v>
      </x:c>
    </x:row>
    <x:row r="8" ht="15" customHeight="1">
      <x:c r="A8" s="17"/>
      <x:c r="B8" s="9"/>
      <x:c r="C8" s="9"/>
      <x:c r="D8" s="9"/>
      <x:c r="E8" s="9"/>
      <x:c r="F8" s="9"/>
      <x:c r="G8" s="9"/>
    </x:row>
    <x:row r="9" ht="15" customHeight="1">
      <x:c r="A9" s="17"/>
      <x:c r="B9" s="9"/>
      <x:c r="C9" s="9"/>
      <x:c r="D9" s="9"/>
      <x:c r="E9" s="9"/>
      <x:c r="F9" s="9"/>
      <x:c r="G9" s="9"/>
    </x:row>
    <x:row r="10" ht="15" customHeight="1">
      <x:c r="A10" s="17"/>
      <x:c r="B10" s="9"/>
      <x:c r="C10" s="9"/>
      <x:c r="D10" s="9"/>
      <x:c r="E10" s="9"/>
      <x:c r="F10" s="9"/>
      <x:c r="G10" s="9"/>
    </x:row>
    <x:row r="11" ht="15" customHeight="1">
      <x:c r="A11" s="17"/>
      <x:c r="B11" s="9"/>
      <x:c r="C11" s="9"/>
      <x:c r="D11" s="9"/>
      <x:c r="E11" s="9"/>
      <x:c r="F11" s="9"/>
      <x:c r="G11" s="9"/>
    </x:row>
    <x:row r="12" ht="15" customHeight="1">
      <x:c r="A12" s="17"/>
      <x:c r="B12" s="9"/>
      <x:c r="C12" s="9"/>
      <x:c r="D12" s="9"/>
      <x:c r="E12" s="9"/>
      <x:c r="F12" s="9"/>
      <x:c r="G12" s="9"/>
    </x:row>
    <x:row r="13" ht="15" customHeight="1">
      <x:c r="A13" s="17"/>
      <x:c r="B13" s="9"/>
      <x:c r="C13" s="9"/>
      <x:c r="D13" s="9"/>
      <x:c r="E13" s="9"/>
      <x:c r="F13" s="9"/>
      <x:c r="G13" s="9"/>
    </x:row>
    <x:row r="14" ht="15" customHeight="1">
      <x:c r="A14" s="17"/>
      <x:c r="B14" s="9"/>
      <x:c r="C14" s="9"/>
      <x:c r="D14" s="9"/>
      <x:c r="E14" s="9"/>
      <x:c r="F14" s="9"/>
      <x:c r="G14" s="9"/>
    </x:row>
    <x:row r="15" ht="15" customHeight="1">
      <x:c r="A15" s="17"/>
      <x:c r="B15" s="9"/>
      <x:c r="C15" s="9"/>
      <x:c r="D15" s="9"/>
      <x:c r="E15" s="9"/>
      <x:c r="F15" s="9"/>
      <x:c r="G15" s="9"/>
    </x:row>
    <x:row r="16" ht="15" customHeight="1">
      <x:c r="A16" s="17"/>
      <x:c r="B16" s="9"/>
      <x:c r="C16" s="9"/>
      <x:c r="D16" s="9"/>
      <x:c r="E16" s="9"/>
      <x:c r="F16" s="9"/>
      <x:c r="G16" s="9"/>
    </x:row>
    <x:row r="17" ht="15" customHeight="1">
      <x:c r="A17" s="17"/>
      <x:c r="B17" s="9"/>
      <x:c r="C17" s="9"/>
      <x:c r="D17" s="9"/>
      <x:c r="E17" s="9"/>
      <x:c r="F17" s="9"/>
      <x:c r="G17" s="9"/>
    </x:row>
    <x:row r="18" ht="15" customHeight="1">
      <x:c r="A18" s="17"/>
      <x:c r="B18" s="9"/>
      <x:c r="C18" s="9"/>
      <x:c r="D18" s="9"/>
      <x:c r="E18" s="9"/>
      <x:c r="F18" s="9"/>
      <x:c r="G18" s="9"/>
    </x:row>
    <x:row r="19" ht="15" customHeight="1">
      <x:c r="A19" s="17"/>
      <x:c r="B19" s="9"/>
      <x:c r="C19" s="9"/>
      <x:c r="D19" s="9"/>
      <x:c r="E19" s="9"/>
      <x:c r="F19" s="9"/>
      <x:c r="G19" s="9"/>
    </x:row>
    <x:row r="20" ht="15" customHeight="1">
      <x:c r="A20" s="17"/>
      <x:c r="B20" s="9"/>
      <x:c r="C20" s="9"/>
      <x:c r="D20" s="9"/>
      <x:c r="E20" s="9"/>
      <x:c r="F20" s="9"/>
      <x:c r="G20" s="9"/>
    </x:row>
    <x:row r="21" ht="15" customHeight="1">
      <x:c r="A21" s="17"/>
      <x:c r="B21" s="9"/>
      <x:c r="C21" s="9"/>
      <x:c r="D21" s="9"/>
      <x:c r="E21" s="9"/>
      <x:c r="F21" s="9"/>
      <x:c r="G21" s="9"/>
    </x:row>
    <x:row r="22" ht="15" customHeight="1">
      <x:c r="A22" s="17"/>
      <x:c r="B22" s="9"/>
      <x:c r="C22" s="9"/>
      <x:c r="D22" s="9"/>
      <x:c r="E22" s="9"/>
      <x:c r="F22" s="9"/>
      <x:c r="G22" s="9"/>
    </x:row>
  </x:sheetData>
  <x:mergeCells>
    <x:mergeCell ref="A3:G3"/>
  </x:mergeCells>
  <x:dataValidations count="2">
    <x:dataValidation type="list" allowBlank="1" sqref="C7:C22">
      <x:formula1>"1. Power Query,2. Modelo,3. DAX,4. Visualización,5. Estrategia y What-if,6. Defensa"</x:formula1>
      <x:formula2>0</x:formula2>
    </x:dataValidation>
    <x:dataValidation type="list" allowBlank="1" sqref="G7:G22">
      <x:formula1>"Aplicada,Parcial,No aplicada (justificar)"</x:formula1>
      <x:formula2>0</x:formula2>
    </x:dataValidation>
  </x:dataValidations>
  <x:pageMargins left="0.7" right="0.7" top="0.75" bottom="0.75" header="0.3" footer="0.3"/>
</x:worksheet>
</file>