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ichas KPI" sheetId="2" state="visible" r:id="rId2"/>
    <sheet xmlns:r="http://schemas.openxmlformats.org/officeDocument/2006/relationships" name="Campos ficha KPI" sheetId="3" state="visible" r:id="rId3"/>
    <sheet xmlns:r="http://schemas.openxmlformats.org/officeDocument/2006/relationships" name="S01 Inventario" sheetId="4" state="visible" r:id="rId4"/>
    <sheet xmlns:r="http://schemas.openxmlformats.org/officeDocument/2006/relationships" name="S02 Mapa Silver" sheetId="5" state="visible" r:id="rId5"/>
    <sheet xmlns:r="http://schemas.openxmlformats.org/officeDocument/2006/relationships" name="S03 Linaje" sheetId="6" state="visible" r:id="rId6"/>
    <sheet xmlns:r="http://schemas.openxmlformats.org/officeDocument/2006/relationships" name="S04 Antes-después" sheetId="7" state="visible" r:id="rId7"/>
    <sheet xmlns:r="http://schemas.openxmlformats.org/officeDocument/2006/relationships" name="S05-S06 Modelo" sheetId="8" state="visible" r:id="rId8"/>
    <sheet xmlns:r="http://schemas.openxmlformats.org/officeDocument/2006/relationships" name="S07 KPI" sheetId="9" state="visible" r:id="rId9"/>
    <sheet xmlns:r="http://schemas.openxmlformats.org/officeDocument/2006/relationships" name="S10 Supuestos" sheetId="10" state="visible" r:id="rId10"/>
    <sheet xmlns:r="http://schemas.openxmlformats.org/officeDocument/2006/relationships" name="S11 Pruebas RLS" sheetId="11" state="visible" r:id="rId11"/>
    <sheet xmlns:r="http://schemas.openxmlformats.org/officeDocument/2006/relationships" name="S12 Mejora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6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0563C1"/>
      <sz val="11"/>
      <u val="single"/>
    </font>
    <font>
      <name val="Cambria"/>
      <charset val="1"/>
      <family val="0"/>
      <i val="1"/>
      <color rgb="FF595959"/>
      <sz val="11"/>
    </font>
    <font>
      <name val="Cambria"/>
      <charset val="1"/>
      <family val="0"/>
      <b val="1"/>
      <color rgb="FFE07A1F"/>
      <sz val="9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C55A11"/>
      <sz val="11"/>
    </font>
    <font>
      <name val="Cambria"/>
      <charset val="1"/>
      <family val="0"/>
      <color rgb="FF7F7F7F"/>
      <sz val="11"/>
    </font>
    <font>
      <name val="Arial"/>
      <family val="2"/>
      <sz val="10"/>
    </font>
    <font>
      <name val="Cambria"/>
      <charset val="1"/>
      <family val="0"/>
      <i val="1"/>
      <color rgb="FF7F7F7F"/>
      <sz val="11"/>
    </font>
  </fonts>
  <fills count="7">
    <fill>
      <patternFill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D9E1EA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AF1F8"/>
      </patternFill>
    </fill>
    <fill>
      <patternFill patternType="solid">
        <fgColor rgb="FFEAF1F8"/>
        <bgColor rgb="FF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top" wrapText="1"/>
    </xf>
    <xf numFmtId="164" fontId="13" fillId="5" borderId="1" applyAlignment="1" pivotButton="0" quotePrefix="0" xfId="0">
      <alignment horizontal="general" vertical="top" wrapText="1"/>
    </xf>
    <xf numFmtId="9" fontId="13" fillId="5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0" fontId="0" fillId="6" borderId="1" applyAlignment="1" pivotButton="0" quotePrefix="0" xfId="0">
      <alignment horizontal="general" vertical="top" wrapText="1"/>
    </xf>
    <xf numFmtId="9" fontId="0" fillId="6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top" wrapText="1"/>
    </xf>
    <xf numFmtId="3" fontId="15" fillId="5" borderId="1" applyAlignment="1" pivotButton="0" quotePrefix="0" xfId="0">
      <alignment horizontal="general" vertical="top" wrapText="1"/>
    </xf>
    <xf numFmtId="3" fontId="0" fillId="0" borderId="1" applyAlignment="1" pivotButton="0" quotePrefix="0" xfId="0">
      <alignment horizontal="general" vertical="top" wrapText="1"/>
    </xf>
    <xf numFmtId="164" fontId="15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2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0" fontId="0" fillId="6" borderId="1" applyAlignment="1" pivotButton="0" quotePrefix="0" xfId="0">
      <alignment horizontal="general" vertical="top" wrapText="1"/>
    </xf>
    <xf numFmtId="9" fontId="0" fillId="6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3" fontId="15" fillId="5" borderId="1" applyAlignment="1" pivotButton="0" quotePrefix="0" xfId="0">
      <alignment horizontal="general" vertical="top" wrapText="1"/>
    </xf>
    <xf numFmtId="164" fontId="15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375623"/>
      </font>
      <fill>
        <patternFill>
          <bgColor rgb="FFE2EFDA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8CBAD"/>
        </patternFill>
      </fill>
    </dxf>
    <dxf>
      <font>
        <b val="1"/>
        <color rgb="FF595959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EAF1F8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E1EA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E07A1F"/>
      <rgbColor rgb="FF595959"/>
      <rgbColor rgb="FF969696"/>
      <rgbColor rgb="FF1F3A5F"/>
      <rgbColor rgb="FF339966"/>
      <rgbColor rgb="FF003300"/>
      <rgbColor rgb="FF333300"/>
      <rgbColor rgb="FFC55A11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Unknown Author</author>
  </authors>
  <commentList>
    <comment ref="R7" authorId="0" shapeId="0">
      <text>
        <t>Umbral rojo de ejemplo (75 %) definido para la clase. Cada equipo justifica el suyo.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4" customWidth="1" style="28" min="2" max="2"/>
    <col width="48" customWidth="1" style="28" min="3" max="3"/>
  </cols>
  <sheetData>
    <row r="1" ht="19.5" customHeight="1" s="29">
      <c r="A1" s="30" t="inlineStr">
        <is>
          <t>GIAD · Módulo 4 · Plantillas del Proyecto Integrador</t>
        </is>
      </c>
    </row>
    <row r="2" ht="31.5" customHeight="1" s="29">
      <c r="A2" s="31" t="inlineStr">
        <is>
          <t>Una hoja por hito. Complete la hoja del hito durante la hora de equipo (una persona comparte pantalla, el resto decide) y suba el libro a Classroom.</t>
        </is>
      </c>
    </row>
    <row r="3" ht="31.5" customHeight="1" s="29">
      <c r="A3" s="31" t="inlineStr">
        <is>
          <t>La fila gris de cada hoja es un ejemplo con Acería Andina: reemplácela con los datos de su subcaso. Los hitos son formativos; el proyecto se califica en la Sesión 13.</t>
        </is>
      </c>
    </row>
    <row r="5" ht="15" customHeight="1" s="29">
      <c r="A5" s="32" t="inlineStr">
        <is>
          <t>Hoja</t>
        </is>
      </c>
      <c r="B5" s="32" t="inlineStr">
        <is>
          <t>Hito</t>
        </is>
      </c>
      <c r="C5" s="32" t="inlineStr">
        <is>
          <t>Contenido</t>
        </is>
      </c>
    </row>
    <row r="6" ht="15" customHeight="1" s="29">
      <c r="A6" s="33" t="inlineStr">
        <is>
          <t>Fichas KPI</t>
        </is>
      </c>
      <c r="B6" s="28" t="inlineStr">
        <is>
          <t>Sesiones 01–13 · hilo</t>
        </is>
      </c>
      <c r="C6" s="28" t="inlineStr">
        <is>
          <t>Fichas de 5 a 8 KPI del subcaso; entrada del Módulo 5</t>
        </is>
      </c>
    </row>
    <row r="7" ht="15" customHeight="1" s="29">
      <c r="A7" s="33" t="inlineStr">
        <is>
          <t>Campos ficha KPI</t>
        </is>
      </c>
      <c r="B7" s="28" t="inlineStr">
        <is>
          <t>Referencia</t>
        </is>
      </c>
      <c r="C7" s="28" t="inlineStr">
        <is>
          <t>Qué va en cada campo y para qué lo usa el Módulo 5</t>
        </is>
      </c>
    </row>
    <row r="8" ht="15" customHeight="1" s="29">
      <c r="A8" s="33" t="inlineStr">
        <is>
          <t>S01 Inventario</t>
        </is>
      </c>
      <c r="B8" s="28" t="inlineStr">
        <is>
          <t>Sesión 01 · preparación</t>
        </is>
      </c>
      <c r="C8" s="28" t="inlineStr">
        <is>
          <t>Inventario de tablas Silver del subcaso</t>
        </is>
      </c>
    </row>
    <row r="9" ht="15" customHeight="1" s="29">
      <c r="A9" s="33" t="inlineStr">
        <is>
          <t>S02 Mapa Silver</t>
        </is>
      </c>
      <c r="B9" s="28" t="inlineStr">
        <is>
          <t>Sesión 02 · hito</t>
        </is>
      </c>
      <c r="C9" s="28" t="inlineStr">
        <is>
          <t>Mapa Silver y arquitectura</t>
        </is>
      </c>
    </row>
    <row r="10" ht="15" customHeight="1" s="29">
      <c r="A10" s="33" t="inlineStr">
        <is>
          <t>S03 Linaje</t>
        </is>
      </c>
      <c r="B10" s="28" t="inlineStr">
        <is>
          <t>Sesión 03 · hito</t>
        </is>
      </c>
      <c r="C10" s="28" t="inlineStr">
        <is>
          <t>Linaje y lista de excepciones</t>
        </is>
      </c>
    </row>
    <row r="11" ht="15" customHeight="1" s="29">
      <c r="A11" s="33" t="inlineStr">
        <is>
          <t>S04 Antes-después</t>
        </is>
      </c>
      <c r="B11" s="28" t="inlineStr">
        <is>
          <t>Sesión 04 · hito</t>
        </is>
      </c>
      <c r="C11" s="28" t="inlineStr">
        <is>
          <t>Ficha antes/después de limpieza</t>
        </is>
      </c>
    </row>
    <row r="12" ht="15" customHeight="1" s="29">
      <c r="A12" s="33" t="inlineStr">
        <is>
          <t>S05-S06 Modelo</t>
        </is>
      </c>
      <c r="B12" s="28" t="inlineStr">
        <is>
          <t>Sesiones 05–06 · hito</t>
        </is>
      </c>
      <c r="C12" s="28" t="inlineStr">
        <is>
          <t>Minuta del pipeline y del modelo</t>
        </is>
      </c>
    </row>
    <row r="13" ht="15" customHeight="1" s="29">
      <c r="A13" s="33" t="inlineStr">
        <is>
          <t>S07 KPI</t>
        </is>
      </c>
      <c r="B13" s="28" t="inlineStr">
        <is>
          <t>Sesión 07 · hito</t>
        </is>
      </c>
      <c r="C13" s="28" t="inlineStr">
        <is>
          <t>KPI del subcaso validados</t>
        </is>
      </c>
    </row>
    <row r="14" ht="15" customHeight="1" s="29">
      <c r="A14" s="33" t="inlineStr">
        <is>
          <t>S10 Supuestos</t>
        </is>
      </c>
      <c r="B14" s="28" t="inlineStr">
        <is>
          <t>Sesión 10 · hito</t>
        </is>
      </c>
      <c r="C14" s="28" t="inlineStr">
        <is>
          <t>Ficha de supuestos del escenario</t>
        </is>
      </c>
    </row>
    <row r="15" ht="15" customHeight="1" s="29">
      <c r="A15" s="33" t="inlineStr">
        <is>
          <t>S11 Pruebas RLS</t>
        </is>
      </c>
      <c r="B15" s="28" t="inlineStr">
        <is>
          <t>Sesión 11 · hito</t>
        </is>
      </c>
      <c r="C15" s="28" t="inlineStr">
        <is>
          <t>Matriz de pruebas de seguridad por filas</t>
        </is>
      </c>
    </row>
    <row r="16" ht="15" customHeight="1" s="29">
      <c r="A16" s="33" t="inlineStr">
        <is>
          <t>S12 Mejoras</t>
        </is>
      </c>
      <c r="B16" s="28" t="inlineStr">
        <is>
          <t>Sesión 12 · PreEntrega</t>
        </is>
      </c>
      <c r="C16" s="28" t="inlineStr">
        <is>
          <t>Lista de mejoras para la Sesión 13</t>
        </is>
      </c>
    </row>
    <row r="18" ht="15" customHeight="1" s="29">
      <c r="A18" s="34" t="inlineStr">
        <is>
          <t>Todo el libro es del equipo. La ficha de configuración de Power BI de la Sesión 02 es individual y va en su propio archivo (GIAD-M4-S02_Ficha_Configuracion_Power_BI.xlsx).</t>
        </is>
      </c>
    </row>
  </sheetData>
  <mergeCells count="2">
    <mergeCell ref="A3:C3"/>
    <mergeCell ref="A2:C2"/>
  </mergeCells>
  <hyperlinks>
    <hyperlink ref="A6" location="'Fichas KPI'!A1" display="Fichas KPI"/>
    <hyperlink ref="A7" location="'Campos ficha KPI'!A1" display="Campos ficha KPI"/>
    <hyperlink ref="A8" location="'S01 Inventario'!A1" display="S01 Inventario"/>
    <hyperlink ref="A9" location="'S02 Mapa Silver'!A1" display="S02 Mapa Silver"/>
    <hyperlink ref="A10" location="'S03 Linaje'!A1" display="S03 Linaje"/>
    <hyperlink ref="A11" location="'S04 Antes-después'!A1" display="S04 Antes-después"/>
    <hyperlink ref="A12" location="'S05-S06 Modelo'!A1" display="S05-S06 Modelo"/>
    <hyperlink ref="A13" location="'S07 KPI'!A1" display="S07 KPI"/>
    <hyperlink ref="A14" location="'S10 Supuestos'!A1" display="S10 Supuestos"/>
    <hyperlink ref="A15" location="'S11 Pruebas RLS'!A1" display="S11 Pruebas RLS"/>
    <hyperlink ref="A16" location="'S12 Mejoras'!A1" display="S12 Mejoras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A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4" customWidth="1" style="28" min="2" max="2"/>
    <col width="14" customWidth="1" style="28" min="3" max="3"/>
    <col width="30" customWidth="1" style="28" min="4" max="4"/>
    <col width="10" customWidth="1" style="28" min="5" max="5"/>
    <col width="26" customWidth="1" style="28" min="6" max="6"/>
    <col width="32" customWidth="1" style="28" min="7" max="7"/>
    <col width="20" customWidth="1" style="28" min="8" max="8"/>
    <col width="22" customWidth="1" style="28" min="9" max="9"/>
    <col width="30" customWidth="1" style="28" min="10" max="10"/>
    <col width="16" customWidth="1" style="28" min="11" max="11"/>
    <col width="12" customWidth="1" style="28" min="12" max="12"/>
    <col width="24" customWidth="1" style="28" min="13" max="13"/>
    <col width="14" customWidth="1" style="28" min="14" max="14"/>
    <col width="10" customWidth="1" style="28" min="15" max="15"/>
    <col width="34" customWidth="1" style="28" min="16" max="16"/>
    <col width="11" customWidth="1" style="28" min="17" max="18"/>
    <col width="14" customWidth="1" style="28" min="19" max="19"/>
    <col width="20" customWidth="1" style="28" min="20" max="20"/>
    <col width="30" customWidth="1" style="28" min="21" max="21"/>
    <col width="26" customWidth="1" style="28" min="22" max="22"/>
    <col width="18" customWidth="1" style="28" min="23" max="23"/>
    <col width="14" customWidth="1" style="28" min="24" max="24"/>
    <col width="32" customWidth="1" style="28" min="25" max="25"/>
    <col width="30" customWidth="1" style="28" min="26" max="26"/>
    <col width="10" customWidth="1" style="28" min="27" max="27"/>
  </cols>
  <sheetData>
    <row r="1" ht="15" customHeight="1" s="29">
      <c r="A1" s="35" t="inlineStr">
        <is>
          <t>SESIONES 01–13 · HILO DEL MÓDULO</t>
        </is>
      </c>
    </row>
    <row r="2" ht="17.25" customHeight="1" s="29">
      <c r="A2" s="36" t="inlineStr">
        <is>
          <t>Fichas de KPI del subcaso</t>
        </is>
      </c>
    </row>
    <row r="3" ht="45" customHeight="1" s="29">
      <c r="A3" s="31" t="inlineStr">
        <is>
          <t>De 5 a 8 KPI por equipo. Cada columna indica la sesión en la que se completa; al final del módulo la ficha queda completa y es la entrada del Módulo 5 (mapa estratégico, POA, OKR, presupuesto y tablero de gestión). La fila gris es el ejemplo de Acería Andina. Las columnas azules se calculan solas. El bloque C se llena como propuesta: el Módulo 5 lo valida.</t>
        </is>
      </c>
    </row>
    <row r="4" ht="15" customHeight="1" s="29">
      <c r="A4" s="37" t="inlineStr">
        <is>
          <t>Equipo:</t>
        </is>
      </c>
      <c r="B4" s="28" t="inlineStr">
        <is>
          <t>Grupo 06</t>
        </is>
      </c>
      <c r="C4" s="37" t="inlineStr">
        <is>
          <t>Subcaso:</t>
        </is>
      </c>
      <c r="D4" s="28" t="inlineStr">
        <is>
          <t>03B</t>
        </is>
      </c>
      <c r="E4" s="37" t="inlineStr">
        <is>
          <t>Fecha:</t>
        </is>
      </c>
      <c r="F4" s="28" t="inlineStr">
        <is>
          <t>2026-10-20</t>
        </is>
      </c>
    </row>
    <row r="5" ht="19.5" customHeight="1" s="29">
      <c r="A5" s="38" t="inlineStr">
        <is>
          <t>A · DEFINICIÓN  (S01–S07)</t>
        </is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40" t="n"/>
      <c r="L5" s="38" t="inlineStr">
        <is>
          <t>B · CONTROL  (S07–S11)</t>
        </is>
      </c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40" t="n"/>
      <c r="W5" s="41" t="inlineStr">
        <is>
          <t>C · ENLACE ESTRATÉGICO  (propuesta para el Módulo 5)</t>
        </is>
      </c>
      <c r="X5" s="39" t="n"/>
      <c r="Y5" s="39" t="n"/>
      <c r="Z5" s="39" t="n"/>
      <c r="AA5" s="40" t="n"/>
    </row>
    <row r="6" ht="45.75" customHeight="1" s="29">
      <c r="A6" s="42" t="inlineStr">
        <is>
          <t>KPI
(S01)</t>
        </is>
      </c>
      <c r="B6" s="42" t="inlineStr">
        <is>
          <t>Decisión que apoya (pregunta)
(S01)</t>
        </is>
      </c>
      <c r="C6" s="42" t="inlineStr">
        <is>
          <t>Nivel de decisión
(S02)</t>
        </is>
      </c>
      <c r="D6" s="42" t="inlineStr">
        <is>
          <t>Fórmula en palabras
(S02)</t>
        </is>
      </c>
      <c r="E6" s="42" t="inlineStr">
        <is>
          <t>Unidad
(S02)</t>
        </is>
      </c>
      <c r="F6" s="42" t="inlineStr">
        <is>
          <t>Tabla(s) fuente
(S03)</t>
        </is>
      </c>
      <c r="G6" s="42" t="inlineStr">
        <is>
          <t>Regla de calidad que lo protege
(S04)</t>
        </is>
      </c>
      <c r="H6" s="42" t="inlineStr">
        <is>
          <t>Grano (una fila es…)
(S06)</t>
        </is>
      </c>
      <c r="I6" s="42" t="inlineStr">
        <is>
          <t>Dimensiones de análisis
(S06)</t>
        </is>
      </c>
      <c r="J6" s="42" t="inlineStr">
        <is>
          <t>Medida DAX
(S07)</t>
        </is>
      </c>
      <c r="K6" s="42" t="inlineStr">
        <is>
          <t>Frecuencia de revisión
(S07)</t>
        </is>
      </c>
      <c r="L6" s="42" t="inlineStr">
        <is>
          <t>Línea base (valor)
(S07)</t>
        </is>
      </c>
      <c r="M6" s="42" t="inlineStr">
        <is>
          <t>Periodo / contexto de la línea base
(S07)</t>
        </is>
      </c>
      <c r="N6" s="42" t="inlineStr">
        <is>
          <t>Polaridad
(S08)</t>
        </is>
      </c>
      <c r="O6" s="42" t="inlineStr">
        <is>
          <t>Meta
(S08)</t>
        </is>
      </c>
      <c r="P6" s="42" t="inlineStr">
        <is>
          <t>Justificación de la meta
(S08)</t>
        </is>
      </c>
      <c r="Q6" s="42" t="inlineStr">
        <is>
          <t>Umbral verde
(S08)</t>
        </is>
      </c>
      <c r="R6" s="42" t="inlineStr">
        <is>
          <t>Umbral rojo
(S08)</t>
        </is>
      </c>
      <c r="S6" s="42" t="inlineStr">
        <is>
          <t>Estado de la línea base
(automático)</t>
        </is>
      </c>
      <c r="T6" s="42" t="inlineStr">
        <is>
          <t>Responsable (rol)
(S11)</t>
        </is>
      </c>
      <c r="U6" s="42" t="inlineStr">
        <is>
          <t>Acción si está en rojo
(S11)</t>
        </is>
      </c>
      <c r="V6" s="42" t="inlineStr">
        <is>
          <t>Quién lo ve (rol / RLS)
(S11)</t>
        </is>
      </c>
      <c r="W6" s="42" t="inlineStr">
        <is>
          <t>Perspectiva sugerida
(S11)</t>
        </is>
      </c>
      <c r="X6" s="42" t="inlineStr">
        <is>
          <t>Tipo: resultado o impulsor
(S09)</t>
        </is>
      </c>
      <c r="Y6" s="42" t="inlineStr">
        <is>
          <t>KPI relacionados (causa → efecto)
(S09)</t>
        </is>
      </c>
      <c r="Z6" s="42" t="inlineStr">
        <is>
          <t>Impacto económico por unidad de mejora
(S10)</t>
        </is>
      </c>
      <c r="AA6" s="42" t="inlineStr">
        <is>
          <t>% completo
(automático)</t>
        </is>
      </c>
    </row>
    <row r="7" ht="60" customHeight="1" s="29">
      <c r="A7" s="43" t="inlineStr">
        <is>
          <t>% de viajes con desviación</t>
        </is>
      </c>
      <c r="B7" s="43" t="inlineStr">
        <is>
          <t>¿Qué proporción de viajes tiene al menos una lectura marcada? Apoya la priorización de controles por producto y camión.</t>
        </is>
      </c>
      <c r="C7" s="43" t="inlineStr">
        <is>
          <t>Táctico</t>
        </is>
      </c>
      <c r="D7" s="43" t="inlineStr">
        <is>
          <t>Viajes con al menos una lectura marcada dividido entre viajes observados, multiplicado por 100.</t>
        </is>
      </c>
      <c r="E7" s="43" t="inlineStr">
        <is>
          <t>Porcentaje</t>
        </is>
      </c>
      <c r="F7" s="43" t="n"/>
      <c r="G7" s="43" t="n"/>
      <c r="H7" s="43" t="n"/>
      <c r="I7" s="43" t="n"/>
      <c r="J7" s="43" t="n"/>
      <c r="K7" s="43" t="n"/>
      <c r="L7" s="44" t="n"/>
      <c r="M7" s="43" t="n"/>
      <c r="N7" s="43" t="n"/>
      <c r="O7" s="44" t="n"/>
      <c r="P7" s="43" t="n"/>
      <c r="Q7" s="44" t="n"/>
      <c r="R7" s="44" t="n"/>
      <c r="S7" s="45">
        <f>IF(OR(L7="",N7="",Q7="",R7=""),"",IF(N7="Más es mejor",IF(Q7&lt;=R7,"Revise umbrales",IF(L7&gt;=Q7,"Verde",IF(L7&lt;R7,"Rojo","Amarillo"))),IF(Q7&gt;=R7,"Revise umbrales",IF(L7&lt;=Q7,"Verde",IF(L7&gt;R7,"Rojo","Amarillo")))))</f>
        <v/>
      </c>
      <c r="T7" s="43" t="n"/>
      <c r="U7" s="43" t="n"/>
      <c r="V7" s="43" t="n"/>
      <c r="W7" s="43" t="n"/>
      <c r="X7" s="43" t="n"/>
      <c r="Y7" s="43" t="n"/>
      <c r="Z7" s="43" t="n"/>
      <c r="AA7" s="46">
        <f>IF(A7="","",COUNTA(A7:R7,T7:Z7)/25)</f>
        <v/>
      </c>
    </row>
    <row r="8" ht="60" customHeight="1" s="29">
      <c r="A8" s="43" t="inlineStr">
        <is>
          <t>% de lecturas con desviación</t>
        </is>
      </c>
      <c r="B8" s="43" t="inlineStr">
        <is>
          <t>¿Qué proporción de lecturas queda marcada? Apoya la lectura de intensidad aparente y la comparación entre productos o camiones.</t>
        </is>
      </c>
      <c r="C8" s="43" t="inlineStr">
        <is>
          <t>Táctico</t>
        </is>
      </c>
      <c r="D8" s="43" t="inlineStr">
        <is>
          <t>Lecturas marcadas dividido entre lecturas observadas, multiplicado por 100.</t>
        </is>
      </c>
      <c r="E8" s="43" t="inlineStr">
        <is>
          <t>Porcentaje</t>
        </is>
      </c>
      <c r="F8" s="43" t="n"/>
      <c r="G8" s="43" t="n"/>
      <c r="H8" s="43" t="n"/>
      <c r="I8" s="43" t="n"/>
      <c r="J8" s="43" t="n"/>
      <c r="K8" s="43" t="n"/>
      <c r="L8" s="44" t="n"/>
      <c r="M8" s="43" t="n"/>
      <c r="N8" s="43" t="n"/>
      <c r="O8" s="44" t="n"/>
      <c r="P8" s="43" t="n"/>
      <c r="Q8" s="44" t="n"/>
      <c r="R8" s="44" t="n"/>
      <c r="S8" s="45">
        <f>IF(OR(L8="",N8="",Q8="",R8=""),"",IF(N8="Más es mejor",IF(Q8&lt;=R8,"Revise umbrales",IF(L8&gt;=Q8,"Verde",IF(L8&lt;R8,"Rojo","Amarillo"))),IF(Q8&gt;=R8,"Revise umbrales",IF(L8&lt;=Q8,"Verde",IF(L8&gt;R8,"Rojo","Amarillo")))))</f>
        <v/>
      </c>
      <c r="T8" s="43" t="n"/>
      <c r="U8" s="43" t="n"/>
      <c r="V8" s="43" t="n"/>
      <c r="W8" s="43" t="n"/>
      <c r="X8" s="43" t="n"/>
      <c r="Y8" s="43" t="n"/>
      <c r="Z8" s="43" t="n"/>
      <c r="AA8" s="46">
        <f>IF(A8="","",COUNTA(A8:R8,T8:Z8)/25)</f>
        <v/>
      </c>
    </row>
    <row r="9" ht="60" customHeight="1" s="29">
      <c r="A9" s="43" t="inlineStr">
        <is>
          <t>Merma por cantidades</t>
        </is>
      </c>
      <c r="B9" s="43" t="inlineStr">
        <is>
          <t>¿Cuánta cantidad se pierde? Apoya la revisión de lotes y centros con peor desempeño.</t>
        </is>
      </c>
      <c r="C9" s="43" t="inlineStr">
        <is>
          <t>Táctico</t>
        </is>
      </c>
      <c r="D9" s="43" t="inlineStr">
        <is>
          <t>Suma de cantidad_merma dividida entre suma de cantidad_ingreso, multiplicada por 100.</t>
        </is>
      </c>
      <c r="E9" s="43" t="inlineStr">
        <is>
          <t>Porcentaje</t>
        </is>
      </c>
      <c r="F9" s="43" t="n"/>
      <c r="G9" s="43" t="n"/>
      <c r="H9" s="43" t="n"/>
      <c r="I9" s="43" t="n"/>
      <c r="J9" s="43" t="n"/>
      <c r="K9" s="43" t="n"/>
      <c r="L9" s="44" t="n"/>
      <c r="M9" s="43" t="n"/>
      <c r="N9" s="43" t="n"/>
      <c r="O9" s="44" t="n"/>
      <c r="P9" s="43" t="n"/>
      <c r="Q9" s="44" t="n"/>
      <c r="R9" s="44" t="n"/>
      <c r="S9" s="45">
        <f>IF(OR(L9="",N9="",Q9="",R9=""),"",IF(N9="Más es mejor",IF(Q9&lt;=R9,"Revise umbrales",IF(L9&gt;=Q9,"Verde",IF(L9&lt;R9,"Rojo","Amarillo"))),IF(Q9&gt;=R9,"Revise umbrales",IF(L9&lt;=Q9,"Verde",IF(L9&gt;R9,"Rojo","Amarillo")))))</f>
        <v/>
      </c>
      <c r="T9" s="43" t="n"/>
      <c r="U9" s="43" t="n"/>
      <c r="V9" s="43" t="n"/>
      <c r="W9" s="43" t="n"/>
      <c r="X9" s="43" t="n"/>
      <c r="Y9" s="43" t="n"/>
      <c r="Z9" s="43" t="n"/>
      <c r="AA9" s="46">
        <f>IF(A9="","",COUNTA(A9:R9,T9:Z9)/25)</f>
        <v/>
      </c>
    </row>
    <row r="10" ht="60" customHeight="1" s="29">
      <c r="A10" s="43" t="inlineStr">
        <is>
          <t>% de lotes salidos vencidos</t>
        </is>
      </c>
      <c r="B10" s="43" t="inlineStr">
        <is>
          <t>¿Qué proporción de lotes sale vencida? Apoya la revisión de gestión de lotes y centros.</t>
        </is>
      </c>
      <c r="C10" s="43" t="inlineStr">
        <is>
          <t>Táctico</t>
        </is>
      </c>
      <c r="D10" s="43" t="inlineStr">
        <is>
          <t>Lotes con salida posterior al día de vencimiento divididos entre lotes salidos, multiplicado por 100.</t>
        </is>
      </c>
      <c r="E10" s="43" t="inlineStr">
        <is>
          <t>Porcentaje</t>
        </is>
      </c>
      <c r="F10" s="43" t="n"/>
      <c r="G10" s="43" t="n"/>
      <c r="H10" s="43" t="n"/>
      <c r="I10" s="43" t="n"/>
      <c r="J10" s="43" t="n"/>
      <c r="K10" s="43" t="n"/>
      <c r="L10" s="44" t="n"/>
      <c r="M10" s="43" t="n"/>
      <c r="N10" s="43" t="n"/>
      <c r="O10" s="44" t="n"/>
      <c r="P10" s="43" t="n"/>
      <c r="Q10" s="44" t="n"/>
      <c r="R10" s="44" t="n"/>
      <c r="S10" s="45">
        <f>IF(OR(L10="",N10="",Q10="",R10=""),"",IF(N10="Más es mejor",IF(Q10&lt;=R10,"Revise umbrales",IF(L10&gt;=Q10,"Verde",IF(L10&lt;R10,"Rojo","Amarillo"))),IF(Q10&gt;=R10,"Revise umbrales",IF(L10&lt;=Q10,"Verde",IF(L10&gt;R10,"Rojo","Amarillo")))))</f>
        <v/>
      </c>
      <c r="T10" s="43" t="n"/>
      <c r="U10" s="43" t="n"/>
      <c r="V10" s="43" t="n"/>
      <c r="W10" s="43" t="n"/>
      <c r="X10" s="43" t="n"/>
      <c r="Y10" s="43" t="n"/>
      <c r="Z10" s="43" t="n"/>
      <c r="AA10" s="46">
        <f>IF(A10="","",COUNTA(A10:R10,T10:Z10)/25)</f>
        <v/>
      </c>
    </row>
    <row r="11" ht="60" customHeight="1" s="29">
      <c r="A11" s="43" t="inlineStr">
        <is>
          <t>Días promedio en almacén</t>
        </is>
      </c>
      <c r="B11" s="43" t="inlineStr">
        <is>
          <t>¿Cuánto permanece un lote antes de salir? Apoya la revisión de permanencia histórica por centro o producto.</t>
        </is>
      </c>
      <c r="C11" s="43" t="inlineStr">
        <is>
          <t>Táctico</t>
        </is>
      </c>
      <c r="D11" s="43" t="inlineStr">
        <is>
          <t>Promedio de dias_en_almacen de los lotes con salida.</t>
        </is>
      </c>
      <c r="E11" s="43" t="inlineStr">
        <is>
          <t>Días</t>
        </is>
      </c>
      <c r="F11" s="43" t="n"/>
      <c r="G11" s="43" t="n"/>
      <c r="H11" s="43" t="n"/>
      <c r="I11" s="43" t="n"/>
      <c r="J11" s="43" t="n"/>
      <c r="K11" s="43" t="n"/>
      <c r="L11" s="44" t="n"/>
      <c r="M11" s="43" t="n"/>
      <c r="N11" s="43" t="n"/>
      <c r="O11" s="44" t="n"/>
      <c r="P11" s="43" t="n"/>
      <c r="Q11" s="44" t="n"/>
      <c r="R11" s="44" t="n"/>
      <c r="S11" s="45">
        <f>IF(OR(L11="",N11="",Q11="",R11=""),"",IF(N11="Más es mejor",IF(Q11&lt;=R11,"Revise umbrales",IF(L11&gt;=Q11,"Verde",IF(L11&lt;R11,"Rojo","Amarillo"))),IF(Q11&gt;=R11,"Revise umbrales",IF(L11&lt;=Q11,"Verde",IF(L11&gt;R11,"Rojo","Amarillo")))))</f>
        <v/>
      </c>
      <c r="T11" s="43" t="n"/>
      <c r="U11" s="43" t="n"/>
      <c r="V11" s="43" t="n"/>
      <c r="W11" s="43" t="n"/>
      <c r="X11" s="43" t="n"/>
      <c r="Y11" s="43" t="n"/>
      <c r="Z11" s="43" t="n"/>
      <c r="AA11" s="46">
        <f>IF(A11="","",COUNTA(A11:R11,T11:Z11)/25)</f>
        <v/>
      </c>
    </row>
    <row r="12" ht="36" customHeight="1" s="29">
      <c r="A12" s="43" t="n"/>
      <c r="B12" s="43" t="n"/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4" t="n"/>
      <c r="M12" s="43" t="n"/>
      <c r="N12" s="43" t="n"/>
      <c r="O12" s="44" t="n"/>
      <c r="P12" s="43" t="n"/>
      <c r="Q12" s="44" t="n"/>
      <c r="R12" s="44" t="n"/>
      <c r="S12" s="45">
        <f>IF(OR(L12="",N12="",Q12="",R12=""),"",IF(N12="Más es mejor",IF(Q12&lt;=R12,"Revise umbrales",IF(L12&gt;=Q12,"Verde",IF(L12&lt;R12,"Rojo","Amarillo"))),IF(Q12&gt;=R12,"Revise umbrales",IF(L12&lt;=Q12,"Verde",IF(L12&gt;R12,"Rojo","Amarillo")))))</f>
        <v/>
      </c>
      <c r="T12" s="43" t="n"/>
      <c r="U12" s="43" t="n"/>
      <c r="V12" s="43" t="n"/>
      <c r="W12" s="43" t="n"/>
      <c r="X12" s="43" t="n"/>
      <c r="Y12" s="43" t="n"/>
      <c r="Z12" s="43" t="n"/>
      <c r="AA12" s="46">
        <f>IF(A12="","",COUNTA(A12:R12,T12:Z12)/25)</f>
        <v/>
      </c>
    </row>
    <row r="13" ht="36" customHeight="1" s="29">
      <c r="A13" s="43" t="n"/>
      <c r="B13" s="43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4" t="n"/>
      <c r="M13" s="43" t="n"/>
      <c r="N13" s="43" t="n"/>
      <c r="O13" s="44" t="n"/>
      <c r="P13" s="43" t="n"/>
      <c r="Q13" s="44" t="n"/>
      <c r="R13" s="44" t="n"/>
      <c r="S13" s="45">
        <f>IF(OR(L13="",N13="",Q13="",R13=""),"",IF(N13="Más es mejor",IF(Q13&lt;=R13,"Revise umbrales",IF(L13&gt;=Q13,"Verde",IF(L13&lt;R13,"Rojo","Amarillo"))),IF(Q13&gt;=R13,"Revise umbrales",IF(L13&lt;=Q13,"Verde",IF(L13&gt;R13,"Rojo","Amarillo")))))</f>
        <v/>
      </c>
      <c r="T13" s="43" t="n"/>
      <c r="U13" s="43" t="n"/>
      <c r="V13" s="43" t="n"/>
      <c r="W13" s="43" t="n"/>
      <c r="X13" s="43" t="n"/>
      <c r="Y13" s="43" t="n"/>
      <c r="Z13" s="43" t="n"/>
      <c r="AA13" s="46">
        <f>IF(A13="","",COUNTA(A13:R13,T13:Z13)/25)</f>
        <v/>
      </c>
    </row>
    <row r="14" ht="36" customHeight="1" s="29">
      <c r="A14" s="43" t="n"/>
      <c r="B14" s="43" t="n"/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4" t="n"/>
      <c r="M14" s="43" t="n"/>
      <c r="N14" s="43" t="n"/>
      <c r="O14" s="44" t="n"/>
      <c r="P14" s="43" t="n"/>
      <c r="Q14" s="44" t="n"/>
      <c r="R14" s="44" t="n"/>
      <c r="S14" s="45">
        <f>IF(OR(L14="",N14="",Q14="",R14=""),"",IF(N14="Más es mejor",IF(Q14&lt;=R14,"Revise umbrales",IF(L14&gt;=Q14,"Verde",IF(L14&lt;R14,"Rojo","Amarillo"))),IF(Q14&gt;=R14,"Revise umbrales",IF(L14&lt;=Q14,"Verde",IF(L14&gt;R14,"Rojo","Amarillo")))))</f>
        <v/>
      </c>
      <c r="T14" s="43" t="n"/>
      <c r="U14" s="43" t="n"/>
      <c r="V14" s="43" t="n"/>
      <c r="W14" s="43" t="n"/>
      <c r="X14" s="43" t="n"/>
      <c r="Y14" s="43" t="n"/>
      <c r="Z14" s="43" t="n"/>
      <c r="AA14" s="46">
        <f>IF(A14="","",COUNTA(A14:R14,T14:Z14)/25)</f>
        <v/>
      </c>
    </row>
    <row r="15" ht="36" customHeight="1" s="29">
      <c r="A15" s="43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4" t="n"/>
      <c r="M15" s="43" t="n"/>
      <c r="N15" s="43" t="n"/>
      <c r="O15" s="44" t="n"/>
      <c r="P15" s="43" t="n"/>
      <c r="Q15" s="44" t="n"/>
      <c r="R15" s="44" t="n"/>
      <c r="S15" s="45">
        <f>IF(OR(L15="",N15="",Q15="",R15=""),"",IF(N15="Más es mejor",IF(Q15&lt;=R15,"Revise umbrales",IF(L15&gt;=Q15,"Verde",IF(L15&lt;R15,"Rojo","Amarillo"))),IF(Q15&gt;=R15,"Revise umbrales",IF(L15&lt;=Q15,"Verde",IF(L15&gt;R15,"Rojo","Amarillo")))))</f>
        <v/>
      </c>
      <c r="T15" s="43" t="n"/>
      <c r="U15" s="43" t="n"/>
      <c r="V15" s="43" t="n"/>
      <c r="W15" s="43" t="n"/>
      <c r="X15" s="43" t="n"/>
      <c r="Y15" s="43" t="n"/>
      <c r="Z15" s="43" t="n"/>
      <c r="AA15" s="46">
        <f>IF(A15="","",COUNTA(A15:R15,T15:Z15)/25)</f>
        <v/>
      </c>
    </row>
    <row r="16"/>
    <row r="17" ht="15" customHeight="1" s="29">
      <c r="A17" s="34" t="inlineStr">
        <is>
          <t>Polaridad: «Más es mejor» exige umbral verde mayor que el rojo (OEE, OTIF); «Menos es mejor», al revés (MTTR, % scrap, churn).</t>
        </is>
      </c>
    </row>
    <row r="18" ht="15" customHeight="1" s="29">
      <c r="A18" s="34" t="inlineStr">
        <is>
          <t>Estado: compara la línea base con los umbrales. Amarillo = entre ambos umbrales: seguimiento, todavía no intervención.</t>
        </is>
      </c>
    </row>
    <row r="19" ht="15" customHeight="1" s="29">
      <c r="A19" s="34" t="inlineStr">
        <is>
          <t>Diferencia con un OKR (Módulo 5): el KPI se mide siempre; un resultado clave es una meta de cambio con plazo sobre un KPI (por ejemplo, OEE de 77,7 % a 80 % este trimestre).</t>
        </is>
      </c>
    </row>
  </sheetData>
  <mergeCells count="4">
    <mergeCell ref="W5:AA5"/>
    <mergeCell ref="L5:V5"/>
    <mergeCell ref="A5:K5"/>
    <mergeCell ref="A3:AA3"/>
  </mergeCells>
  <conditionalFormatting sqref="S7:S15">
    <cfRule type="expression" rank="0" priority="2" equalAverage="0" aboveAverage="0" dxfId="0" text="" percent="0" bottom="0">
      <formula>S7="Verde"</formula>
    </cfRule>
    <cfRule type="expression" rank="0" priority="3" equalAverage="0" aboveAverage="0" dxfId="1" text="" percent="0" bottom="0">
      <formula>S7="Amarillo"</formula>
    </cfRule>
    <cfRule type="expression" rank="0" priority="4" equalAverage="0" aboveAverage="0" dxfId="2" text="" percent="0" bottom="0">
      <formula>S7="Rojo"</formula>
    </cfRule>
    <cfRule type="expression" rank="0" priority="5" equalAverage="0" aboveAverage="0" dxfId="3" text="" percent="0" bottom="0">
      <formula>S7="Revise umbrales"</formula>
    </cfRule>
  </conditionalFormatting>
  <dataValidations count="4">
    <dataValidation sqref="C7:C15" showDropDown="0" showInputMessage="0" showErrorMessage="0" allowBlank="1" type="list" errorStyle="stop" operator="between">
      <formula1>"Estratégico,Táctico,Operativo"</formula1>
      <formula2>0</formula2>
    </dataValidation>
    <dataValidation sqref="N7:N15" showDropDown="0" showInputMessage="0" showErrorMessage="0" allowBlank="1" type="list" errorStyle="stop" operator="between">
      <formula1>"Más es mejor,Menos es mejor"</formula1>
      <formula2>0</formula2>
    </dataValidation>
    <dataValidation sqref="W7:W15" showDropDown="0" showInputMessage="0" showErrorMessage="0" allowBlank="1" type="list" errorStyle="stop" operator="between">
      <formula1>"Financiera,Clientes,Procesos internos,Aprendizaje y crecimiento"</formula1>
      <formula2>0</formula2>
    </dataValidation>
    <dataValidation sqref="X7:X15" showDropDown="0" showInputMessage="0" showErrorMessage="0" allowBlank="1" type="list" errorStyle="stop" operator="between">
      <formula1>"Resultado,Impulsor"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30" customWidth="1" style="28" min="2" max="2"/>
    <col width="44" customWidth="1" style="28" min="3" max="3"/>
    <col width="9" customWidth="1" style="28" min="4" max="4"/>
    <col width="44" customWidth="1" style="28" min="5" max="5"/>
    <col width="40" customWidth="1" style="28" min="6" max="6"/>
  </cols>
  <sheetData>
    <row r="1" ht="15" customHeight="1" s="29">
      <c r="A1" s="35" t="inlineStr">
        <is>
          <t>REFERENCIA</t>
        </is>
      </c>
    </row>
    <row r="2" ht="17.25" customHeight="1" s="29">
      <c r="A2" s="36" t="inlineStr">
        <is>
          <t>Qué va en cada campo de la ficha de KPI</t>
        </is>
      </c>
    </row>
    <row r="3" ht="45" customHeight="1" s="29">
      <c r="A3" s="31" t="inlineStr">
        <is>
          <t>Nueve pasos de diseño, agrupados en tres bloques. Use esta hoja para completar la hoja Fichas KPI. La última columna explica para qué usa el Módulo 5 cada campo.</t>
        </is>
      </c>
    </row>
    <row r="6" ht="31.5" customHeight="1" s="29">
      <c r="A6" s="42" t="inlineStr">
        <is>
          <t>Paso</t>
        </is>
      </c>
      <c r="B6" s="42" t="inlineStr">
        <is>
          <t>Campo de la ficha</t>
        </is>
      </c>
      <c r="C6" s="42" t="inlineStr">
        <is>
          <t>Pregunta que responde</t>
        </is>
      </c>
      <c r="D6" s="42" t="inlineStr">
        <is>
          <t>Sesión</t>
        </is>
      </c>
      <c r="E6" s="42" t="inlineStr">
        <is>
          <t>Ejemplo con el OEE de Acería Andina</t>
        </is>
      </c>
      <c r="F6" s="42" t="inlineStr">
        <is>
          <t>Para qué lo usa el Módulo 5</t>
        </is>
      </c>
    </row>
    <row r="7" ht="15" customHeight="1" s="29">
      <c r="A7" s="47" t="inlineStr">
        <is>
          <t>A · DEFINICIÓN</t>
        </is>
      </c>
      <c r="B7" s="39" t="n"/>
      <c r="C7" s="39" t="n"/>
      <c r="D7" s="39" t="n"/>
      <c r="E7" s="39" t="n"/>
      <c r="F7" s="40" t="n"/>
    </row>
    <row r="8" ht="31.5" customHeight="1" s="29">
      <c r="A8" s="48" t="inlineStr">
        <is>
          <t>1</t>
        </is>
      </c>
      <c r="B8" s="49" t="inlineStr">
        <is>
          <t>KPI y decisión que apoya</t>
        </is>
      </c>
      <c r="C8" s="49" t="inlineStr">
        <is>
          <t>¿Qué decisión cambia según el valor de este número? Si ninguna, es una métrica, no un KPI.</t>
        </is>
      </c>
      <c r="D8" s="48" t="inlineStr">
        <is>
          <t>S01</t>
        </is>
      </c>
      <c r="E8" s="49" t="inlineStr">
        <is>
          <t>¿En qué activo y turno se pierde capacidad y qué pilar intervenir primero?</t>
        </is>
      </c>
      <c r="F8" s="49" t="inlineStr">
        <is>
          <t>Ubicar el KPI bajo un objetivo del mapa estratégico.</t>
        </is>
      </c>
    </row>
    <row r="9" ht="31.5" customHeight="1" s="29">
      <c r="A9" s="48" t="inlineStr">
        <is>
          <t>1</t>
        </is>
      </c>
      <c r="B9" s="49" t="inlineStr">
        <is>
          <t>Nivel de decisión</t>
        </is>
      </c>
      <c r="C9" s="49" t="inlineStr">
        <is>
          <t>¿Lo usa la gerencia (estratégico), el jefe de área (táctico) o el turno (operativo)?</t>
        </is>
      </c>
      <c r="D9" s="48" t="inlineStr">
        <is>
          <t>S02</t>
        </is>
      </c>
      <c r="E9" s="49" t="inlineStr">
        <is>
          <t>Táctico</t>
        </is>
      </c>
      <c r="F9" s="49" t="inlineStr">
        <is>
          <t>Separar KPI del mapa estratégico de los del tablero operativo.</t>
        </is>
      </c>
    </row>
    <row r="10" ht="31.5" customHeight="1" s="29">
      <c r="A10" s="48" t="inlineStr">
        <is>
          <t>2</t>
        </is>
      </c>
      <c r="B10" s="49" t="inlineStr">
        <is>
          <t>Fórmula en palabras y unidad</t>
        </is>
      </c>
      <c r="C10" s="49" t="inlineStr">
        <is>
          <t>¿Cómo se calcula, sin ambigüedad, y en qué unidad se expresa?</t>
        </is>
      </c>
      <c r="D10" s="48" t="inlineStr">
        <is>
          <t>S02</t>
        </is>
      </c>
      <c r="E10" s="49" t="inlineStr">
        <is>
          <t>Disponibilidad × Rendimiento × Calidad, en %</t>
        </is>
      </c>
      <c r="F10" s="49" t="inlineStr">
        <is>
          <t>Una sola definición para toda la organización.</t>
        </is>
      </c>
    </row>
    <row r="11" ht="31.5" customHeight="1" s="29">
      <c r="A11" s="48" t="inlineStr">
        <is>
          <t>3</t>
        </is>
      </c>
      <c r="B11" s="49" t="inlineStr">
        <is>
          <t>Tabla(s) fuente</t>
        </is>
      </c>
      <c r="C11" s="49" t="inlineStr">
        <is>
          <t>¿De qué tablas sale y cuál es la fuente oficial si hay dos?</t>
        </is>
      </c>
      <c r="D11" s="48" t="inlineStr">
        <is>
          <t>S03</t>
        </is>
      </c>
      <c r="E11" s="49" t="inlineStr">
        <is>
          <t>fact_produccion_turno, dim_activo, dim_turno, dim_fecha</t>
        </is>
      </c>
      <c r="F11" s="49" t="inlineStr">
        <is>
          <t>Saber qué sistema hay que mantener (roadmap tecnológico).</t>
        </is>
      </c>
    </row>
    <row r="12" ht="31.5" customHeight="1" s="29">
      <c r="A12" s="48" t="inlineStr">
        <is>
          <t>3</t>
        </is>
      </c>
      <c r="B12" s="49" t="inlineStr">
        <is>
          <t>Regla de calidad</t>
        </is>
      </c>
      <c r="C12" s="49" t="inlineStr">
        <is>
          <t>¿Qué regla impide que un dato malo mueva el KPI?</t>
        </is>
      </c>
      <c r="D12" s="48" t="inlineStr">
        <is>
          <t>S04</t>
        </is>
      </c>
      <c r="E12" s="49" t="inlineStr">
        <is>
          <t>Paradas &gt; 480 min se corrigen; filas vacías se excluyen</t>
        </is>
      </c>
      <c r="F12" s="49" t="inlineStr">
        <is>
          <t>Confiar en el número que se reporta en el control de gestión.</t>
        </is>
      </c>
    </row>
    <row r="13" ht="31.5" customHeight="1" s="29">
      <c r="A13" s="48" t="inlineStr">
        <is>
          <t>4</t>
        </is>
      </c>
      <c r="B13" s="49" t="inlineStr">
        <is>
          <t>Grano y dimensiones</t>
        </is>
      </c>
      <c r="C13" s="49" t="inlineStr">
        <is>
          <t>¿Qué representa una fila y por qué cortes se analiza?</t>
        </is>
      </c>
      <c r="D13" s="48" t="inlineStr">
        <is>
          <t>S06</t>
        </is>
      </c>
      <c r="E13" s="49" t="inlineStr">
        <is>
          <t>Activo × turno × día; por activo, área, turno y fecha</t>
        </is>
      </c>
      <c r="F13" s="49" t="inlineStr">
        <is>
          <t>Desplegar metas por área, línea o zona (POA).</t>
        </is>
      </c>
    </row>
    <row r="14" ht="31.5" customHeight="1" s="29">
      <c r="A14" s="48" t="inlineStr">
        <is>
          <t>4</t>
        </is>
      </c>
      <c r="B14" s="49" t="inlineStr">
        <is>
          <t>Medida DAX y frecuencia</t>
        </is>
      </c>
      <c r="C14" s="49" t="inlineStr">
        <is>
          <t>¿Qué medida lo calcula y cada cuánto se revisa?</t>
        </is>
      </c>
      <c r="D14" s="48" t="inlineStr">
        <is>
          <t>S07</t>
        </is>
      </c>
      <c r="E14" s="49" t="inlineStr">
        <is>
          <t>[OEE]; por turno, revisión diaria</t>
        </is>
      </c>
      <c r="F14" s="49" t="inlineStr">
        <is>
          <t>Fijar la cadencia de revisión del tablero de gestión.</t>
        </is>
      </c>
    </row>
    <row r="15" ht="15" customHeight="1" s="29">
      <c r="A15" s="47" t="inlineStr">
        <is>
          <t>B · CONTROL</t>
        </is>
      </c>
      <c r="B15" s="39" t="n"/>
      <c r="C15" s="39" t="n"/>
      <c r="D15" s="39" t="n"/>
      <c r="E15" s="39" t="n"/>
      <c r="F15" s="40" t="n"/>
    </row>
    <row r="16" ht="31.5" customHeight="1" s="29">
      <c r="A16" s="48" t="inlineStr">
        <is>
          <t>5</t>
        </is>
      </c>
      <c r="B16" s="49" t="inlineStr">
        <is>
          <t>Línea base</t>
        </is>
      </c>
      <c r="C16" s="49" t="inlineStr">
        <is>
          <t>¿Cuánto vale hoy, en qué periodo y contexto?</t>
        </is>
      </c>
      <c r="D16" s="48" t="inlineStr">
        <is>
          <t>S07</t>
        </is>
      </c>
      <c r="E16" s="49" t="inlineStr">
        <is>
          <t>77,7 % (COMP-04, turno B, 06/10/2026)</t>
        </is>
      </c>
      <c r="F16" s="49" t="inlineStr">
        <is>
          <t>Punto de partida de toda meta del POA y de todo OKR.</t>
        </is>
      </c>
    </row>
    <row r="17" ht="31.5" customHeight="1" s="29">
      <c r="A17" s="48" t="inlineStr">
        <is>
          <t>6</t>
        </is>
      </c>
      <c r="B17" s="49" t="inlineStr">
        <is>
          <t>Polaridad, meta y justificación</t>
        </is>
      </c>
      <c r="C17" s="49" t="inlineStr">
        <is>
          <t>¿Más es mejor o menos es mejor? ¿Qué valor se busca y por qué ese?</t>
        </is>
      </c>
      <c r="D17" s="48" t="inlineStr">
        <is>
          <t>S08</t>
        </is>
      </c>
      <c r="E17" s="49" t="inlineStr">
        <is>
          <t>Más es mejor; 85 %, referencia de clase mundial</t>
        </is>
      </c>
      <c r="F17" s="49" t="inlineStr">
        <is>
          <t>Meta anual del POA; la gerencia la confirma o ajusta.</t>
        </is>
      </c>
    </row>
    <row r="18" ht="31.5" customHeight="1" s="29">
      <c r="A18" s="48" t="inlineStr">
        <is>
          <t>6</t>
        </is>
      </c>
      <c r="B18" s="49" t="inlineStr">
        <is>
          <t>Umbrales verde y rojo</t>
        </is>
      </c>
      <c r="C18" s="49" t="inlineStr">
        <is>
          <t>¿Desde qué valor está bien y desde cuál hay que intervenir?</t>
        </is>
      </c>
      <c r="D18" s="48" t="inlineStr">
        <is>
          <t>S08</t>
        </is>
      </c>
      <c r="E18" s="49" t="inlineStr">
        <is>
          <t>Verde ≥ 85 %, rojo &lt; 75 %; 77,7 % queda en amarillo</t>
        </is>
      </c>
      <c r="F18" s="49" t="inlineStr">
        <is>
          <t>Semáforo del tablero de gestión.</t>
        </is>
      </c>
    </row>
    <row r="19" ht="31.5" customHeight="1" s="29">
      <c r="A19" s="48" t="inlineStr">
        <is>
          <t>7</t>
        </is>
      </c>
      <c r="B19" s="49" t="inlineStr">
        <is>
          <t>Responsable y acción</t>
        </is>
      </c>
      <c r="C19" s="49" t="inlineStr">
        <is>
          <t>¿Quién responde por el número y qué hace si se pone en rojo?</t>
        </is>
      </c>
      <c r="D19" s="48" t="inlineStr">
        <is>
          <t>S11</t>
        </is>
      </c>
      <c r="E19" s="49" t="inlineStr">
        <is>
          <t>Jefe de área de Laminación; revisar paradas y abrir análisis de causa</t>
        </is>
      </c>
      <c r="F19" s="49" t="inlineStr">
        <is>
          <t>Asignar dueños de objetivos y de resultados clave.</t>
        </is>
      </c>
    </row>
    <row r="20" ht="31.5" customHeight="1" s="29">
      <c r="A20" s="48" t="inlineStr">
        <is>
          <t>7</t>
        </is>
      </c>
      <c r="B20" s="49" t="inlineStr">
        <is>
          <t>Quién lo ve</t>
        </is>
      </c>
      <c r="C20" s="49" t="inlineStr">
        <is>
          <t>¿Qué roles pueden ver el KPI y con qué filtro?</t>
        </is>
      </c>
      <c r="D20" s="48" t="inlineStr">
        <is>
          <t>S11</t>
        </is>
      </c>
      <c r="E20" s="49" t="inlineStr">
        <is>
          <t>Gerencia: todo · jefe de área: su área · supervisor: su activo y turno (RLS)</t>
        </is>
      </c>
      <c r="F20" s="49" t="inlineStr">
        <is>
          <t>Distribuir el tablero de gestión por nivel.</t>
        </is>
      </c>
    </row>
    <row r="21" ht="15" customHeight="1" s="29">
      <c r="A21" s="50" t="inlineStr">
        <is>
          <t>C · ENLACE ESTRATÉGICO (propuesta)</t>
        </is>
      </c>
      <c r="B21" s="39" t="n"/>
      <c r="C21" s="39" t="n"/>
      <c r="D21" s="39" t="n"/>
      <c r="E21" s="39" t="n"/>
      <c r="F21" s="40" t="n"/>
    </row>
    <row r="22" ht="31.5" customHeight="1" s="29">
      <c r="A22" s="48" t="inlineStr">
        <is>
          <t>8</t>
        </is>
      </c>
      <c r="B22" s="49" t="inlineStr">
        <is>
          <t>Tipo y KPI relacionados</t>
        </is>
      </c>
      <c r="C22" s="49" t="inlineStr">
        <is>
          <t>¿Es un resultado o un impulsor? ¿Qué KPI lo mueven y a cuál mueve él?</t>
        </is>
      </c>
      <c r="D22" s="48" t="inlineStr">
        <is>
          <t>S09</t>
        </is>
      </c>
      <c r="E22" s="49" t="inlineStr">
        <is>
          <t>Resultado; lo mueven Disponibilidad y scrap; mueve el costo por tonelada</t>
        </is>
      </c>
      <c r="F22" s="49" t="inlineStr">
        <is>
          <t>Dibujar las relaciones causa-efecto del mapa estratégico.</t>
        </is>
      </c>
    </row>
    <row r="23" ht="31.5" customHeight="1" s="29">
      <c r="A23" s="48" t="inlineStr">
        <is>
          <t>8</t>
        </is>
      </c>
      <c r="B23" s="49" t="inlineStr">
        <is>
          <t>Perspectiva sugerida</t>
        </is>
      </c>
      <c r="C23" s="49" t="inlineStr">
        <is>
          <t>¿Financiera, clientes, procesos internos o aprendizaje y crecimiento?</t>
        </is>
      </c>
      <c r="D23" s="48" t="inlineStr">
        <is>
          <t>S11</t>
        </is>
      </c>
      <c r="E23" s="49" t="inlineStr">
        <is>
          <t>Procesos internos</t>
        </is>
      </c>
      <c r="F23" s="49" t="inlineStr">
        <is>
          <t>Ubicar el KPI en una perspectiva del mapa estratégico.</t>
        </is>
      </c>
    </row>
    <row r="24" ht="31.5" customHeight="1" s="29">
      <c r="A24" s="48" t="inlineStr">
        <is>
          <t>9</t>
        </is>
      </c>
      <c r="B24" s="49" t="inlineStr">
        <is>
          <t>Impacto económico</t>
        </is>
      </c>
      <c r="C24" s="49" t="inlineStr">
        <is>
          <t>¿Cuánto dinero vale mejorar una unidad del KPI?</t>
        </is>
      </c>
      <c r="D24" s="48" t="inlineStr">
        <is>
          <t>S10</t>
        </is>
      </c>
      <c r="E24" s="49" t="inlineStr">
        <is>
          <t>1 pp de scrap ≈ $5.400 por año</t>
        </is>
      </c>
      <c r="F24" s="49" t="inlineStr">
        <is>
          <t>Justificar el presupuesto de cada iniciativa.</t>
        </is>
      </c>
    </row>
  </sheetData>
  <mergeCells count="4">
    <mergeCell ref="A3:F3"/>
    <mergeCell ref="A21:F21"/>
    <mergeCell ref="A15:F15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30" customWidth="1" style="28" min="2" max="2"/>
    <col width="24" customWidth="1" style="28" min="3" max="3"/>
    <col width="9" customWidth="1" style="28" min="4" max="4"/>
    <col width="10" customWidth="1" style="28" min="5" max="5"/>
    <col width="36" customWidth="1" style="28" min="6" max="6"/>
    <col width="20" customWidth="1" style="28" min="7" max="7"/>
  </cols>
  <sheetData>
    <row r="1" ht="15" customHeight="1" s="29">
      <c r="A1" s="35" t="inlineStr">
        <is>
          <t>SESIÓN 01 · PREPARACIÓN</t>
        </is>
      </c>
    </row>
    <row r="2" ht="17.25" customHeight="1" s="29">
      <c r="A2" s="36" t="inlineStr">
        <is>
          <t>Inventario de tablas Silver del subcaso</t>
        </is>
      </c>
    </row>
    <row r="3" ht="30" customHeight="1" s="29">
      <c r="A3" s="31" t="inlineStr">
        <is>
          <t>Una fila por tabla que recibe el equipo. Cargue cada tabla en Power BI y anote lo que ve antes de usarla.</t>
        </is>
      </c>
    </row>
    <row r="4" ht="15" customHeight="1" s="29">
      <c r="A4" s="37" t="inlineStr">
        <is>
          <t>Equipo:</t>
        </is>
      </c>
      <c r="B4" s="28" t="inlineStr">
        <is>
          <t>Grupo 06</t>
        </is>
      </c>
      <c r="C4" s="37" t="inlineStr">
        <is>
          <t>Subcaso:</t>
        </is>
      </c>
      <c r="D4" s="28" t="inlineStr">
        <is>
          <t>03B</t>
        </is>
      </c>
      <c r="E4" s="37" t="inlineStr">
        <is>
          <t>Fecha:</t>
        </is>
      </c>
      <c r="F4" s="28" t="inlineStr">
        <is>
          <t>2026-10-20</t>
        </is>
      </c>
    </row>
    <row r="6" ht="31.5" customHeight="1" s="29">
      <c r="A6" s="42" t="inlineStr">
        <is>
          <t>Tabla / archivo</t>
        </is>
      </c>
      <c r="B6" s="42" t="inlineStr">
        <is>
          <t>Qué representa una fila</t>
        </is>
      </c>
      <c r="C6" s="42" t="inlineStr">
        <is>
          <t>Columnas clave</t>
        </is>
      </c>
      <c r="D6" s="42" t="inlineStr">
        <is>
          <t>Filas</t>
        </is>
      </c>
      <c r="E6" s="42" t="inlineStr">
        <is>
          <t>Columnas</t>
        </is>
      </c>
      <c r="F6" s="42" t="inlineStr">
        <is>
          <t>Brecha observada</t>
        </is>
      </c>
      <c r="G6" s="42" t="inlineStr">
        <is>
          <t>Responsable de revisarla</t>
        </is>
      </c>
    </row>
    <row r="7" ht="75" customHeight="1" s="29">
      <c r="A7" s="43" t="inlineStr">
        <is>
          <t>andinalog_iot_telemetry_silver.csv</t>
        </is>
      </c>
      <c r="B7" s="43" t="inlineStr">
        <is>
          <t>Una lectura dentro de un viaje.</t>
        </is>
      </c>
      <c r="C7" s="43" t="inlineStr">
        <is>
          <t>viaje_id + minutos_desde_despacho; también viaje_id + timestamp.</t>
        </is>
      </c>
      <c r="D7" s="51" t="n">
        <v>191710</v>
      </c>
      <c r="E7" s="51" t="n">
        <v>15</v>
      </c>
      <c r="F7" s="43" t="inlineStr">
        <is>
          <t>Excepción demostrada: 26 lecturas en límites térmicos; 14 órdenes o viajes con 339 lecturas en dos particiones y 43 positivas. Se registran y no se corrigen en S01.</t>
        </is>
      </c>
      <c r="G7" s="43" t="inlineStr">
        <is>
          <t>Grupo 06</t>
        </is>
      </c>
    </row>
    <row r="8" ht="75" customHeight="1" s="29">
      <c r="A8" s="43" t="inlineStr">
        <is>
          <t>andinalog_productos_silver.csv</t>
        </is>
      </c>
      <c r="B8" s="43" t="inlineStr">
        <is>
          <t>Un producto.</t>
        </is>
      </c>
      <c r="C8" s="43" t="inlineStr">
        <is>
          <t>producto_id.</t>
        </is>
      </c>
      <c r="D8" s="51" t="n">
        <v>120</v>
      </c>
      <c r="E8" s="51" t="n">
        <v>7</v>
      </c>
      <c r="F8" s="43" t="inlineStr">
        <is>
          <t>Sin brecha observada. Diferencia de cobertura: 70 de 120 productos aparecen en telemetría; no es error de calidad.</t>
        </is>
      </c>
      <c r="G8" s="43" t="inlineStr">
        <is>
          <t>Grupo 06</t>
        </is>
      </c>
    </row>
    <row r="9" ht="75" customHeight="1" s="29">
      <c r="A9" s="43" t="inlineStr">
        <is>
          <t>andinalog_flota_silver.csv</t>
        </is>
      </c>
      <c r="B9" s="43" t="inlineStr">
        <is>
          <t>Un camión.</t>
        </is>
      </c>
      <c r="C9" s="43" t="inlineStr">
        <is>
          <t>camion_id.</t>
        </is>
      </c>
      <c r="D9" s="51" t="n">
        <v>100</v>
      </c>
      <c r="E9" s="51" t="n">
        <v>6</v>
      </c>
      <c r="F9" s="43" t="inlineStr">
        <is>
          <t>Sin brecha observada. Diferencia de definición: el centro base no equivale necesariamente al centro operativo; decisión de modelado pendiente.</t>
        </is>
      </c>
      <c r="G9" s="43" t="inlineStr">
        <is>
          <t>Grupo 06</t>
        </is>
      </c>
    </row>
    <row r="10" ht="75" customHeight="1" s="29">
      <c r="A10" s="43" t="inlineStr">
        <is>
          <t>andinalog_inventory_tracking_silver.csv</t>
        </is>
      </c>
      <c r="B10" s="43" t="inlineStr">
        <is>
          <t>Un lote con ingreso, salida y merma.</t>
        </is>
      </c>
      <c r="C10" s="43" t="inlineStr">
        <is>
          <t>lote_id; movimiento_id.</t>
        </is>
      </c>
      <c r="D10" s="51" t="n">
        <v>7782</v>
      </c>
      <c r="E10" s="51" t="n">
        <v>12</v>
      </c>
      <c r="F10" s="43" t="inlineStr">
        <is>
          <t>Sin brecha observada. Limitación de alcance: todos los lotes ya salieron; no hay stock vigente en esta entrega.</t>
        </is>
      </c>
      <c r="G10" s="43" t="inlineStr">
        <is>
          <t>Grupo 06</t>
        </is>
      </c>
    </row>
    <row r="11" ht="75" customHeight="1" s="29">
      <c r="A11" s="43" t="inlineStr">
        <is>
          <t>andinalog_warehouse_costs_silver.csv</t>
        </is>
      </c>
      <c r="B11" s="43" t="inlineStr">
        <is>
          <t>Un centro en un mes.</t>
        </is>
      </c>
      <c r="C11" s="43" t="inlineStr">
        <is>
          <t>centro_distribucion + periodo_mes.</t>
        </is>
      </c>
      <c r="D11" s="51" t="n">
        <v>144</v>
      </c>
      <c r="E11" s="51" t="n">
        <v>5</v>
      </c>
      <c r="F11" s="43" t="inlineStr">
        <is>
          <t>Sin brecha observada. Decisión de modelado: relación temporal con el calendario pendiente; no es error de calidad.</t>
        </is>
      </c>
      <c r="G11" s="43" t="inlineStr">
        <is>
          <t>Grupo 06</t>
        </is>
      </c>
    </row>
    <row r="12" ht="15" customHeight="1" s="29">
      <c r="A12" s="43" t="n"/>
      <c r="B12" s="43" t="n"/>
      <c r="C12" s="43" t="n"/>
      <c r="D12" s="51" t="n"/>
      <c r="E12" s="51" t="n"/>
      <c r="F12" s="43" t="n"/>
      <c r="G12" s="43" t="n"/>
    </row>
    <row r="13" ht="15" customHeight="1" s="29">
      <c r="A13" s="43" t="n"/>
      <c r="B13" s="43" t="n"/>
      <c r="C13" s="43" t="n"/>
      <c r="D13" s="51" t="n"/>
      <c r="E13" s="51" t="n"/>
      <c r="F13" s="43" t="n"/>
      <c r="G13" s="43" t="n"/>
    </row>
    <row r="14" ht="15" customHeight="1" s="29">
      <c r="A14" s="43" t="n"/>
      <c r="B14" s="43" t="n"/>
      <c r="C14" s="43" t="n"/>
      <c r="D14" s="51" t="n"/>
      <c r="E14" s="51" t="n"/>
      <c r="F14" s="43" t="n"/>
      <c r="G14" s="43" t="n"/>
    </row>
    <row r="15" ht="15" customHeight="1" s="29">
      <c r="A15" s="43" t="n"/>
      <c r="B15" s="43" t="n"/>
      <c r="C15" s="43" t="n"/>
      <c r="D15" s="51" t="n"/>
      <c r="E15" s="51" t="n"/>
      <c r="F15" s="43" t="n"/>
      <c r="G15" s="43" t="n"/>
    </row>
    <row r="16" ht="15" customHeight="1" s="29">
      <c r="A16" s="43" t="n"/>
      <c r="B16" s="43" t="n"/>
      <c r="C16" s="43" t="n"/>
      <c r="D16" s="51" t="n"/>
      <c r="E16" s="51" t="n"/>
      <c r="F16" s="43" t="n"/>
      <c r="G16" s="43" t="n"/>
    </row>
    <row r="17" ht="15" customHeight="1" s="29">
      <c r="A17" s="43" t="n"/>
      <c r="B17" s="43" t="n"/>
      <c r="C17" s="43" t="n"/>
      <c r="D17" s="51" t="n"/>
      <c r="E17" s="51" t="n"/>
      <c r="F17" s="43" t="n"/>
      <c r="G17" s="43" t="n"/>
    </row>
    <row r="18" ht="15" customHeight="1" s="29">
      <c r="A18" s="43" t="n"/>
      <c r="B18" s="43" t="n"/>
      <c r="C18" s="43" t="n"/>
      <c r="D18" s="51" t="n"/>
      <c r="E18" s="51" t="n"/>
      <c r="F18" s="43" t="n"/>
      <c r="G18" s="43" t="n"/>
    </row>
    <row r="19" ht="15" customHeight="1" s="29">
      <c r="A19" s="43" t="n"/>
      <c r="B19" s="43" t="n"/>
      <c r="C19" s="43" t="n"/>
      <c r="D19" s="51" t="n"/>
      <c r="E19" s="51" t="n"/>
      <c r="F19" s="43" t="n"/>
      <c r="G19" s="43" t="n"/>
    </row>
    <row r="20" ht="15" customHeight="1" s="29">
      <c r="A20" s="43" t="n"/>
      <c r="B20" s="43" t="n"/>
      <c r="C20" s="43" t="n"/>
      <c r="D20" s="51" t="n"/>
      <c r="E20" s="51" t="n"/>
      <c r="F20" s="43" t="n"/>
      <c r="G20" s="43" t="n"/>
    </row>
    <row r="21" ht="15" customHeight="1" s="29">
      <c r="A21" s="43" t="n"/>
      <c r="B21" s="43" t="n"/>
      <c r="C21" s="43" t="n"/>
      <c r="D21" s="51" t="n"/>
      <c r="E21" s="51" t="n"/>
      <c r="F21" s="43" t="n"/>
      <c r="G21" s="43" t="n"/>
    </row>
    <row r="22" ht="15" customHeight="1" s="29">
      <c r="A22" s="43" t="n"/>
      <c r="B22" s="43" t="n"/>
      <c r="C22" s="43" t="n"/>
      <c r="D22" s="51" t="n"/>
      <c r="E22" s="51" t="n"/>
      <c r="F22" s="43" t="n"/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26" customWidth="1" style="28" min="2" max="2"/>
    <col width="20" customWidth="1" style="28" min="3" max="3"/>
    <col width="13" customWidth="1" style="28" min="4" max="4"/>
    <col width="16" customWidth="1" style="28" min="5" max="5"/>
    <col width="30" customWidth="1" style="28" min="6" max="7"/>
  </cols>
  <sheetData>
    <row r="1" ht="15" customHeight="1" s="29">
      <c r="A1" s="35" t="inlineStr">
        <is>
          <t>SESIÓN 02 · HITO</t>
        </is>
      </c>
    </row>
    <row r="2" ht="17.25" customHeight="1" s="29">
      <c r="A2" s="36" t="inlineStr">
        <is>
          <t>Mapa Silver y arquitectura</t>
        </is>
      </c>
    </row>
    <row r="3" ht="30" customHeight="1" s="29">
      <c r="A3" s="31" t="inlineStr">
        <is>
          <t>Una fila por tabla. Parta de la brecha DCAM priorizada: el control debe responder a ella.</t>
        </is>
      </c>
    </row>
    <row r="4" ht="15" customHeight="1" s="29">
      <c r="A4" s="37" t="inlineStr">
        <is>
          <t>Equipo:</t>
        </is>
      </c>
      <c r="B4" s="28" t="inlineStr">
        <is>
          <t>Grupo 06</t>
        </is>
      </c>
      <c r="C4" s="37" t="inlineStr">
        <is>
          <t>Subcaso:</t>
        </is>
      </c>
      <c r="D4" s="28" t="inlineStr">
        <is>
          <t>03B</t>
        </is>
      </c>
      <c r="E4" s="37" t="inlineStr">
        <is>
          <t>Fecha:</t>
        </is>
      </c>
      <c r="F4" s="28" t="inlineStr">
        <is>
          <t>2026-10-27</t>
        </is>
      </c>
    </row>
    <row r="6" ht="31.5" customHeight="1" s="29">
      <c r="A6" s="42" t="inlineStr">
        <is>
          <t>Archivo / tabla</t>
        </is>
      </c>
      <c r="B6" s="42" t="inlineStr">
        <is>
          <t>Granularidad</t>
        </is>
      </c>
      <c r="C6" s="42" t="inlineStr">
        <is>
          <t>Identificador único</t>
        </is>
      </c>
      <c r="D6" s="42" t="inlineStr">
        <is>
          <t>Frecuencia</t>
        </is>
      </c>
      <c r="E6" s="42" t="inlineStr">
        <is>
          <t>Propietario</t>
        </is>
      </c>
      <c r="F6" s="42" t="inlineStr">
        <is>
          <t>Riesgo</t>
        </is>
      </c>
      <c r="G6" s="42" t="inlineStr">
        <is>
          <t>Control propuesto</t>
        </is>
      </c>
    </row>
    <row r="7" ht="27.75" customHeight="1" s="29">
      <c r="A7" s="43" t="inlineStr">
        <is>
          <t>andinalog_iot_telemetry_silver.csv</t>
        </is>
      </c>
      <c r="B7" s="43" t="inlineStr">
        <is>
          <t>Una lectura dentro de un viaje</t>
        </is>
      </c>
      <c r="C7" s="43" t="inlineStr">
        <is>
          <t>viaje_id + minutos_desde_despacho</t>
        </is>
      </c>
      <c r="D7" s="43" t="inlineStr">
        <is>
          <t>Observación cada 30 min; actualización por acordar</t>
        </is>
      </c>
      <c r="E7" s="43" t="inlineStr">
        <is>
          <t>Por acordar; revisión Grupo 06</t>
        </is>
      </c>
      <c r="F7" s="43" t="inlineStr">
        <is>
          <t>Interpretar el centro del camión como centro real del viaje</t>
        </is>
      </c>
      <c r="G7" s="43" t="inlineStr">
        <is>
          <t>Documentar el límite y no usar el centro base como ruta; control de clave compuesta</t>
        </is>
      </c>
    </row>
    <row r="8" ht="15" customHeight="1" s="29">
      <c r="A8" s="43" t="inlineStr">
        <is>
          <t>andinalog_productos_silver.csv</t>
        </is>
      </c>
      <c r="B8" s="43" t="inlineStr">
        <is>
          <t>Un producto</t>
        </is>
      </c>
      <c r="C8" s="43" t="inlineStr">
        <is>
          <t>producto_id</t>
        </is>
      </c>
      <c r="D8" s="43" t="inlineStr">
        <is>
          <t>Catálogo; actualización por acordar</t>
        </is>
      </c>
      <c r="E8" s="43" t="inlineStr">
        <is>
          <t>Por acordar; revisión Grupo 06</t>
        </is>
      </c>
      <c r="F8" s="43" t="inlineStr">
        <is>
          <t>Extrapolar KPI térmicos a todo el catálogo</t>
        </is>
      </c>
      <c r="G8" s="43" t="inlineStr">
        <is>
          <t>Registrar cobertura 70 de 120 en telemetría</t>
        </is>
      </c>
    </row>
    <row r="9" ht="15" customHeight="1" s="29">
      <c r="A9" s="43" t="inlineStr">
        <is>
          <t>andinalog_flota_silver.csv</t>
        </is>
      </c>
      <c r="B9" s="43" t="inlineStr">
        <is>
          <t>Un camión</t>
        </is>
      </c>
      <c r="C9" s="43" t="inlineStr">
        <is>
          <t>camion_id</t>
        </is>
      </c>
      <c r="D9" s="43" t="inlineStr">
        <is>
          <t>Catálogo; actualización por acordar</t>
        </is>
      </c>
      <c r="E9" s="43" t="inlineStr">
        <is>
          <t>Por acordar; revisión Grupo 06</t>
        </is>
      </c>
      <c r="F9" s="43" t="inlineStr">
        <is>
          <t>Usar centro_distribucion_base como centro operativo</t>
        </is>
      </c>
      <c r="G9" s="43" t="inlineStr">
        <is>
          <t>Mantener la distinción base/operativo y registrarla como pendiente</t>
        </is>
      </c>
    </row>
    <row r="10" ht="15" customHeight="1" s="29">
      <c r="A10" s="43" t="inlineStr">
        <is>
          <t>andinalog_inventory_tracking_silver.csv</t>
        </is>
      </c>
      <c r="B10" s="43" t="inlineStr">
        <is>
          <t>Un lote con ingreso, salida y merma en esta entrega</t>
        </is>
      </c>
      <c r="C10" s="43" t="inlineStr">
        <is>
          <t>lote_id; movimiento_id único en esta entrega</t>
        </is>
      </c>
      <c r="D10" s="43" t="inlineStr">
        <is>
          <t>Sin periodicidad fija: una fila por lote contiene las fechas de ingreso y salida; actualización por acordar</t>
        </is>
      </c>
      <c r="E10" s="43" t="inlineStr">
        <is>
          <t>Por acordar; revisión Grupo 06</t>
        </is>
      </c>
      <c r="F10" s="43" t="inlineStr">
        <is>
          <t>Leer vencimiento como stock vigente</t>
        </is>
      </c>
      <c r="G10" s="43" t="inlineStr">
        <is>
          <t>Declarar que todos los lotes salieron; KPI históricos</t>
        </is>
      </c>
    </row>
    <row r="11" ht="15" customHeight="1" s="29">
      <c r="A11" s="43" t="inlineStr">
        <is>
          <t>andinalog_warehouse_costs_silver.csv</t>
        </is>
      </c>
      <c r="B11" s="43" t="inlineStr">
        <is>
          <t>Un centro en un mes</t>
        </is>
      </c>
      <c r="C11" s="43" t="inlineStr">
        <is>
          <t>centro_distribucion + periodo_mes</t>
        </is>
      </c>
      <c r="D11" s="43" t="inlineStr">
        <is>
          <t>Mensual; actualización por acordar</t>
        </is>
      </c>
      <c r="E11" s="43" t="inlineStr">
        <is>
          <t>Por acordar; revisión Grupo 06</t>
        </is>
      </c>
      <c r="F11" s="43" t="inlineStr">
        <is>
          <t>Asignar costos a productos sin regla</t>
        </is>
      </c>
      <c r="G11" s="43" t="inlineStr">
        <is>
          <t>No asignar; relación temporal en S06</t>
        </is>
      </c>
    </row>
    <row r="12" ht="15" customHeight="1" s="29">
      <c r="A12" s="43" t="n"/>
      <c r="B12" s="43" t="n"/>
      <c r="C12" s="43" t="n"/>
      <c r="D12" s="43" t="n"/>
      <c r="E12" s="43" t="n"/>
      <c r="F12" s="43" t="n"/>
      <c r="G12" s="43" t="n"/>
    </row>
    <row r="13" ht="15" customHeight="1" s="29">
      <c r="A13" s="43" t="n"/>
      <c r="B13" s="43" t="n"/>
      <c r="C13" s="43" t="n"/>
      <c r="D13" s="43" t="n"/>
      <c r="E13" s="43" t="n"/>
      <c r="F13" s="43" t="n"/>
      <c r="G13" s="43" t="n"/>
    </row>
    <row r="14" ht="15" customHeight="1" s="29">
      <c r="A14" s="43" t="n"/>
      <c r="B14" s="43" t="n"/>
      <c r="C14" s="43" t="n"/>
      <c r="D14" s="43" t="n"/>
      <c r="E14" s="43" t="n"/>
      <c r="F14" s="43" t="n"/>
      <c r="G14" s="43" t="n"/>
    </row>
    <row r="15" ht="15" customHeight="1" s="29">
      <c r="A15" s="43" t="n"/>
      <c r="B15" s="43" t="n"/>
      <c r="C15" s="43" t="n"/>
      <c r="D15" s="43" t="n"/>
      <c r="E15" s="43" t="n"/>
      <c r="F15" s="43" t="n"/>
      <c r="G15" s="43" t="n"/>
    </row>
    <row r="16" ht="15" customHeight="1" s="29">
      <c r="A16" s="43" t="n"/>
      <c r="B16" s="43" t="n"/>
      <c r="C16" s="43" t="n"/>
      <c r="D16" s="43" t="n"/>
      <c r="E16" s="43" t="n"/>
      <c r="F16" s="43" t="n"/>
      <c r="G16" s="43" t="n"/>
    </row>
    <row r="17" ht="15" customHeight="1" s="29">
      <c r="A17" s="43" t="n"/>
      <c r="B17" s="43" t="n"/>
      <c r="C17" s="43" t="n"/>
      <c r="D17" s="43" t="n"/>
      <c r="E17" s="43" t="n"/>
      <c r="F17" s="43" t="n"/>
      <c r="G17" s="43" t="n"/>
    </row>
    <row r="18" ht="15" customHeight="1" s="29">
      <c r="A18" s="43" t="n"/>
      <c r="B18" s="43" t="n"/>
      <c r="C18" s="43" t="n"/>
      <c r="D18" s="43" t="n"/>
      <c r="E18" s="43" t="n"/>
      <c r="F18" s="43" t="n"/>
      <c r="G18" s="43" t="n"/>
    </row>
    <row r="19" ht="15" customHeight="1" s="29">
      <c r="A19" s="43" t="n"/>
      <c r="B19" s="43" t="n"/>
      <c r="C19" s="43" t="n"/>
      <c r="D19" s="43" t="n"/>
      <c r="E19" s="43" t="n"/>
      <c r="F19" s="43" t="n"/>
      <c r="G19" s="43" t="n"/>
    </row>
    <row r="20" ht="15" customHeight="1" s="29">
      <c r="A20" s="43" t="n"/>
      <c r="B20" s="43" t="n"/>
      <c r="C20" s="43" t="n"/>
      <c r="D20" s="43" t="n"/>
      <c r="E20" s="43" t="n"/>
      <c r="F20" s="43" t="n"/>
      <c r="G20" s="43" t="n"/>
    </row>
    <row r="21" ht="15" customHeight="1" s="29">
      <c r="A21" s="43" t="n"/>
      <c r="B21" s="43" t="n"/>
      <c r="C21" s="43" t="n"/>
      <c r="D21" s="43" t="n"/>
      <c r="E21" s="43" t="n"/>
      <c r="F21" s="43" t="n"/>
      <c r="G21" s="43" t="n"/>
    </row>
    <row r="22" ht="15" customHeight="1" s="29">
      <c r="A22" s="43" t="n"/>
      <c r="B22" s="43" t="n"/>
      <c r="C22" s="43" t="n"/>
      <c r="D22" s="43" t="n"/>
      <c r="E22" s="43" t="n"/>
      <c r="F22" s="43" t="n"/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4" customWidth="1" style="28" min="2" max="2"/>
    <col width="16" customWidth="1" style="28" min="3" max="4"/>
    <col width="9" customWidth="1" style="28" min="5" max="5"/>
    <col width="34" customWidth="1" style="28" min="6" max="6"/>
    <col width="32" customWidth="1" style="28" min="7" max="7"/>
  </cols>
  <sheetData>
    <row r="1" ht="15" customHeight="1" s="29">
      <c r="A1" s="35" t="inlineStr">
        <is>
          <t>SESIÓN 03 · HITO</t>
        </is>
      </c>
    </row>
    <row r="2" ht="17.25" customHeight="1" s="29">
      <c r="A2" s="36" t="inlineStr">
        <is>
          <t>Linaje y lista de excepciones</t>
        </is>
      </c>
    </row>
    <row r="3" ht="30" customHeight="1" s="29">
      <c r="A3" s="31" t="inlineStr">
        <is>
          <t>Una fila por fuente conectada. Perfil de columnas sobre todo el conjunto de datos.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Fuente</t>
        </is>
      </c>
      <c r="B6" s="42" t="inlineStr">
        <is>
          <t>Conector</t>
        </is>
      </c>
      <c r="C6" s="42" t="inlineStr">
        <is>
          <t>Parámetro de ruta</t>
        </is>
      </c>
      <c r="D6" s="42" t="inlineStr">
        <is>
          <t>Nivel de privacidad</t>
        </is>
      </c>
      <c r="E6" s="42" t="inlineStr">
        <is>
          <t>Filas</t>
        </is>
      </c>
      <c r="F6" s="42" t="inlineStr">
        <is>
          <t>Excepción encontrada</t>
        </is>
      </c>
      <c r="G6" s="42" t="inlineStr">
        <is>
          <t>Regla propuesta para S04</t>
        </is>
      </c>
    </row>
    <row r="7" ht="15" customHeight="1" s="29">
      <c r="A7" s="52" t="inlineStr">
        <is>
          <t>fact_ordenes_silver.csv</t>
        </is>
      </c>
      <c r="B7" s="52" t="inlineStr">
        <is>
          <t>Texto/CSV</t>
        </is>
      </c>
      <c r="C7" s="52" t="inlineStr">
        <is>
          <t>RutaCrudo</t>
        </is>
      </c>
      <c r="D7" s="52" t="inlineStr">
        <is>
          <t>Organizacional</t>
        </is>
      </c>
      <c r="E7" s="53" t="n">
        <v>4820</v>
      </c>
      <c r="F7" s="52" t="inlineStr">
        <is>
          <t>12 órdenes sin id_activo</t>
        </is>
      </c>
      <c r="G7" s="52" t="inlineStr">
        <is>
          <t>Consulta de excepciones, no se borran</t>
        </is>
      </c>
    </row>
    <row r="8" ht="15" customHeight="1" s="29">
      <c r="A8" s="43" t="n"/>
      <c r="B8" s="43" t="n"/>
      <c r="C8" s="43" t="n"/>
      <c r="D8" s="43" t="n"/>
      <c r="E8" s="51" t="n"/>
      <c r="F8" s="43" t="n"/>
      <c r="G8" s="43" t="n"/>
    </row>
    <row r="9" ht="15" customHeight="1" s="29">
      <c r="A9" s="43" t="n"/>
      <c r="B9" s="43" t="n"/>
      <c r="C9" s="43" t="n"/>
      <c r="D9" s="43" t="n"/>
      <c r="E9" s="51" t="n"/>
      <c r="F9" s="43" t="n"/>
      <c r="G9" s="43" t="n"/>
    </row>
    <row r="10" ht="15" customHeight="1" s="29">
      <c r="A10" s="43" t="n"/>
      <c r="B10" s="43" t="n"/>
      <c r="C10" s="43" t="n"/>
      <c r="D10" s="43" t="n"/>
      <c r="E10" s="51" t="n"/>
      <c r="F10" s="43" t="n"/>
      <c r="G10" s="43" t="n"/>
    </row>
    <row r="11" ht="15" customHeight="1" s="29">
      <c r="A11" s="43" t="n"/>
      <c r="B11" s="43" t="n"/>
      <c r="C11" s="43" t="n"/>
      <c r="D11" s="43" t="n"/>
      <c r="E11" s="51" t="n"/>
      <c r="F11" s="43" t="n"/>
      <c r="G11" s="43" t="n"/>
    </row>
    <row r="12" ht="15" customHeight="1" s="29">
      <c r="A12" s="43" t="n"/>
      <c r="B12" s="43" t="n"/>
      <c r="C12" s="43" t="n"/>
      <c r="D12" s="43" t="n"/>
      <c r="E12" s="51" t="n"/>
      <c r="F12" s="43" t="n"/>
      <c r="G12" s="43" t="n"/>
    </row>
    <row r="13" ht="15" customHeight="1" s="29">
      <c r="A13" s="43" t="n"/>
      <c r="B13" s="43" t="n"/>
      <c r="C13" s="43" t="n"/>
      <c r="D13" s="43" t="n"/>
      <c r="E13" s="51" t="n"/>
      <c r="F13" s="43" t="n"/>
      <c r="G13" s="43" t="n"/>
    </row>
    <row r="14" ht="15" customHeight="1" s="29">
      <c r="A14" s="43" t="n"/>
      <c r="B14" s="43" t="n"/>
      <c r="C14" s="43" t="n"/>
      <c r="D14" s="43" t="n"/>
      <c r="E14" s="51" t="n"/>
      <c r="F14" s="43" t="n"/>
      <c r="G14" s="43" t="n"/>
    </row>
    <row r="15" ht="15" customHeight="1" s="29">
      <c r="A15" s="43" t="n"/>
      <c r="B15" s="43" t="n"/>
      <c r="C15" s="43" t="n"/>
      <c r="D15" s="43" t="n"/>
      <c r="E15" s="51" t="n"/>
      <c r="F15" s="43" t="n"/>
      <c r="G15" s="43" t="n"/>
    </row>
    <row r="16" ht="15" customHeight="1" s="29">
      <c r="A16" s="43" t="n"/>
      <c r="B16" s="43" t="n"/>
      <c r="C16" s="43" t="n"/>
      <c r="D16" s="43" t="n"/>
      <c r="E16" s="51" t="n"/>
      <c r="F16" s="43" t="n"/>
      <c r="G16" s="43" t="n"/>
    </row>
    <row r="17" ht="15" customHeight="1" s="29">
      <c r="A17" s="43" t="n"/>
      <c r="B17" s="43" t="n"/>
      <c r="C17" s="43" t="n"/>
      <c r="D17" s="43" t="n"/>
      <c r="E17" s="51" t="n"/>
      <c r="F17" s="43" t="n"/>
      <c r="G17" s="43" t="n"/>
    </row>
    <row r="18" ht="15" customHeight="1" s="29">
      <c r="A18" s="43" t="n"/>
      <c r="B18" s="43" t="n"/>
      <c r="C18" s="43" t="n"/>
      <c r="D18" s="43" t="n"/>
      <c r="E18" s="51" t="n"/>
      <c r="F18" s="43" t="n"/>
      <c r="G18" s="43" t="n"/>
    </row>
    <row r="19" ht="15" customHeight="1" s="29">
      <c r="A19" s="43" t="n"/>
      <c r="B19" s="43" t="n"/>
      <c r="C19" s="43" t="n"/>
      <c r="D19" s="43" t="n"/>
      <c r="E19" s="51" t="n"/>
      <c r="F19" s="43" t="n"/>
      <c r="G19" s="43" t="n"/>
    </row>
    <row r="20" ht="15" customHeight="1" s="29">
      <c r="A20" s="43" t="n"/>
      <c r="B20" s="43" t="n"/>
      <c r="C20" s="43" t="n"/>
      <c r="D20" s="43" t="n"/>
      <c r="E20" s="51" t="n"/>
      <c r="F20" s="43" t="n"/>
      <c r="G20" s="43" t="n"/>
    </row>
    <row r="21" ht="15" customHeight="1" s="29">
      <c r="A21" s="43" t="n"/>
      <c r="B21" s="43" t="n"/>
      <c r="C21" s="43" t="n"/>
      <c r="D21" s="43" t="n"/>
      <c r="E21" s="51" t="n"/>
      <c r="F21" s="43" t="n"/>
      <c r="G21" s="43" t="n"/>
    </row>
    <row r="22" ht="15" customHeight="1" s="29">
      <c r="A22" s="43" t="n"/>
      <c r="B22" s="43" t="n"/>
      <c r="C22" s="43" t="n"/>
      <c r="D22" s="43" t="n"/>
      <c r="E22" s="51" t="n"/>
      <c r="F22" s="43" t="n"/>
      <c r="G22" s="43" t="n"/>
    </row>
  </sheetData>
  <mergeCells count="1">
    <mergeCell ref="A3:G3"/>
  </mergeCells>
  <dataValidations count="1">
    <dataValidation sqref="D7:D22" showDropDown="0" showInputMessage="0" showErrorMessage="0" allowBlank="1" type="list" errorStyle="stop" operator="between">
      <formula1>"Privado,Organizacional,Público"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8" min="1" max="1"/>
    <col width="24" customWidth="1" style="28" min="2" max="2"/>
    <col width="11" customWidth="1" style="28" min="3" max="3"/>
    <col width="12" customWidth="1" style="28" min="4" max="5"/>
    <col width="13" customWidth="1" style="28" min="6" max="6"/>
    <col width="34" customWidth="1" style="28" min="7" max="7"/>
  </cols>
  <sheetData>
    <row r="1" ht="15" customHeight="1" s="29">
      <c r="A1" s="35" t="inlineStr">
        <is>
          <t>SESIÓN 04 · HITO</t>
        </is>
      </c>
    </row>
    <row r="2" ht="17.25" customHeight="1" s="29">
      <c r="A2" s="36" t="inlineStr">
        <is>
          <t>Ficha antes/después de limpieza</t>
        </is>
      </c>
    </row>
    <row r="3" ht="30" customHeight="1" s="29">
      <c r="A3" s="31" t="inlineStr">
        <is>
          <t>Una fila por regla aplicada. Marcar es mejor que borrar cuando no hay certeza.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Regla</t>
        </is>
      </c>
      <c r="B6" s="42" t="inlineStr">
        <is>
          <t>Paso de Power Query (nombre)</t>
        </is>
      </c>
      <c r="C6" s="42" t="inlineStr">
        <is>
          <t>Filas antes</t>
        </is>
      </c>
      <c r="D6" s="42" t="inlineStr">
        <is>
          <t>Filas afectadas</t>
        </is>
      </c>
      <c r="E6" s="42" t="inlineStr">
        <is>
          <t>Filas después</t>
        </is>
      </c>
      <c r="F6" s="42" t="inlineStr">
        <is>
          <t>Decisión</t>
        </is>
      </c>
      <c r="G6" s="42" t="inlineStr">
        <is>
          <t>Limitación que queda</t>
        </is>
      </c>
    </row>
    <row r="7" ht="15" customHeight="1" s="29">
      <c r="A7" s="52" t="inlineStr">
        <is>
          <t>Quitar duplicados exactos</t>
        </is>
      </c>
      <c r="B7" s="52" t="inlineStr">
        <is>
          <t>QuitarDuplicados</t>
        </is>
      </c>
      <c r="C7" s="53" t="n">
        <v>7764</v>
      </c>
      <c r="D7" s="53" t="n">
        <v>24</v>
      </c>
      <c r="E7" s="53" t="n">
        <v>7740</v>
      </c>
      <c r="F7" s="52" t="inlineStr">
        <is>
          <t>Excluir</t>
        </is>
      </c>
      <c r="G7" s="52" t="inlineStr">
        <is>
          <t>Clave de negocio: fecha + turno + activo</t>
        </is>
      </c>
    </row>
    <row r="8" ht="15" customHeight="1" s="29">
      <c r="A8" s="43" t="n"/>
      <c r="B8" s="43" t="n"/>
      <c r="C8" s="51" t="n"/>
      <c r="D8" s="51" t="n"/>
      <c r="E8" s="51" t="n"/>
      <c r="F8" s="43" t="n"/>
      <c r="G8" s="43" t="n"/>
    </row>
    <row r="9" ht="15" customHeight="1" s="29">
      <c r="A9" s="43" t="n"/>
      <c r="B9" s="43" t="n"/>
      <c r="C9" s="51" t="n"/>
      <c r="D9" s="51" t="n"/>
      <c r="E9" s="51" t="n"/>
      <c r="F9" s="43" t="n"/>
      <c r="G9" s="43" t="n"/>
    </row>
    <row r="10" ht="15" customHeight="1" s="29">
      <c r="A10" s="43" t="n"/>
      <c r="B10" s="43" t="n"/>
      <c r="C10" s="51" t="n"/>
      <c r="D10" s="51" t="n"/>
      <c r="E10" s="51" t="n"/>
      <c r="F10" s="43" t="n"/>
      <c r="G10" s="43" t="n"/>
    </row>
    <row r="11" ht="15" customHeight="1" s="29">
      <c r="A11" s="43" t="n"/>
      <c r="B11" s="43" t="n"/>
      <c r="C11" s="51" t="n"/>
      <c r="D11" s="51" t="n"/>
      <c r="E11" s="51" t="n"/>
      <c r="F11" s="43" t="n"/>
      <c r="G11" s="43" t="n"/>
    </row>
    <row r="12" ht="15" customHeight="1" s="29">
      <c r="A12" s="43" t="n"/>
      <c r="B12" s="43" t="n"/>
      <c r="C12" s="51" t="n"/>
      <c r="D12" s="51" t="n"/>
      <c r="E12" s="51" t="n"/>
      <c r="F12" s="43" t="n"/>
      <c r="G12" s="43" t="n"/>
    </row>
    <row r="13" ht="15" customHeight="1" s="29">
      <c r="A13" s="43" t="n"/>
      <c r="B13" s="43" t="n"/>
      <c r="C13" s="51" t="n"/>
      <c r="D13" s="51" t="n"/>
      <c r="E13" s="51" t="n"/>
      <c r="F13" s="43" t="n"/>
      <c r="G13" s="43" t="n"/>
    </row>
    <row r="14" ht="15" customHeight="1" s="29">
      <c r="A14" s="43" t="n"/>
      <c r="B14" s="43" t="n"/>
      <c r="C14" s="51" t="n"/>
      <c r="D14" s="51" t="n"/>
      <c r="E14" s="51" t="n"/>
      <c r="F14" s="43" t="n"/>
      <c r="G14" s="43" t="n"/>
    </row>
    <row r="15" ht="15" customHeight="1" s="29">
      <c r="A15" s="43" t="n"/>
      <c r="B15" s="43" t="n"/>
      <c r="C15" s="51" t="n"/>
      <c r="D15" s="51" t="n"/>
      <c r="E15" s="51" t="n"/>
      <c r="F15" s="43" t="n"/>
      <c r="G15" s="43" t="n"/>
    </row>
    <row r="16" ht="15" customHeight="1" s="29">
      <c r="A16" s="43" t="n"/>
      <c r="B16" s="43" t="n"/>
      <c r="C16" s="51" t="n"/>
      <c r="D16" s="51" t="n"/>
      <c r="E16" s="51" t="n"/>
      <c r="F16" s="43" t="n"/>
      <c r="G16" s="43" t="n"/>
    </row>
    <row r="17" ht="15" customHeight="1" s="29">
      <c r="A17" s="43" t="n"/>
      <c r="B17" s="43" t="n"/>
      <c r="C17" s="51" t="n"/>
      <c r="D17" s="51" t="n"/>
      <c r="E17" s="51" t="n"/>
      <c r="F17" s="43" t="n"/>
      <c r="G17" s="43" t="n"/>
    </row>
    <row r="18" ht="15" customHeight="1" s="29">
      <c r="A18" s="43" t="n"/>
      <c r="B18" s="43" t="n"/>
      <c r="C18" s="51" t="n"/>
      <c r="D18" s="51" t="n"/>
      <c r="E18" s="51" t="n"/>
      <c r="F18" s="43" t="n"/>
      <c r="G18" s="43" t="n"/>
    </row>
    <row r="19" ht="15" customHeight="1" s="29">
      <c r="A19" s="43" t="n"/>
      <c r="B19" s="43" t="n"/>
      <c r="C19" s="51" t="n"/>
      <c r="D19" s="51" t="n"/>
      <c r="E19" s="51" t="n"/>
      <c r="F19" s="43" t="n"/>
      <c r="G19" s="43" t="n"/>
    </row>
    <row r="20" ht="15" customHeight="1" s="29">
      <c r="A20" s="43" t="n"/>
      <c r="B20" s="43" t="n"/>
      <c r="C20" s="51" t="n"/>
      <c r="D20" s="51" t="n"/>
      <c r="E20" s="51" t="n"/>
      <c r="F20" s="43" t="n"/>
      <c r="G20" s="43" t="n"/>
    </row>
    <row r="21" ht="15" customHeight="1" s="29">
      <c r="A21" s="43" t="n"/>
      <c r="B21" s="43" t="n"/>
      <c r="C21" s="51" t="n"/>
      <c r="D21" s="51" t="n"/>
      <c r="E21" s="51" t="n"/>
      <c r="F21" s="43" t="n"/>
      <c r="G21" s="43" t="n"/>
    </row>
    <row r="22" ht="15" customHeight="1" s="29">
      <c r="A22" s="43" t="n"/>
      <c r="B22" s="43" t="n"/>
      <c r="C22" s="51" t="n"/>
      <c r="D22" s="51" t="n"/>
      <c r="E22" s="51" t="n"/>
      <c r="F22" s="43" t="n"/>
      <c r="G22" s="43" t="n"/>
    </row>
  </sheetData>
  <mergeCells count="1">
    <mergeCell ref="A3:G3"/>
  </mergeCells>
  <dataValidations count="1">
    <dataValidation sqref="F7:F22" showDropDown="0" showInputMessage="0" showErrorMessage="0" allowBlank="1" type="list" errorStyle="stop" operator="between">
      <formula1>"Corregir,Marcar,Excluir,Enmascarar"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8" min="1" max="1"/>
    <col width="12" customWidth="1" style="28" min="2" max="2"/>
    <col width="30" customWidth="1" style="28" min="3" max="3"/>
    <col width="18" customWidth="1" style="28" min="4" max="4"/>
    <col width="20" customWidth="1" style="28" min="5" max="5"/>
    <col width="13" customWidth="1" style="28" min="6" max="6"/>
    <col width="12" customWidth="1" style="28" min="7" max="7"/>
    <col width="34" customWidth="1" style="28" min="8" max="8"/>
  </cols>
  <sheetData>
    <row r="1" ht="15" customHeight="1" s="29">
      <c r="A1" s="35" t="inlineStr">
        <is>
          <t>SESIONES 05–06 · HITO</t>
        </is>
      </c>
    </row>
    <row r="2" ht="17.25" customHeight="1" s="29">
      <c r="A2" s="36" t="inlineStr">
        <is>
          <t>Minuta del pipeline y del modelo</t>
        </is>
      </c>
    </row>
    <row r="3" ht="30" customHeight="1" s="29">
      <c r="A3" s="31" t="inlineStr">
        <is>
          <t>Una fila por tabla del modelo. La prueba demuestra que el filtro llega o que el total se conserva.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Tabla</t>
        </is>
      </c>
      <c r="B6" s="42" t="inlineStr">
        <is>
          <t>Tipo</t>
        </is>
      </c>
      <c r="C6" s="42" t="inlineStr">
        <is>
          <t>Grano (qué es una fila)</t>
        </is>
      </c>
      <c r="D6" s="42" t="inlineStr">
        <is>
          <t>Clave</t>
        </is>
      </c>
      <c r="E6" s="42" t="inlineStr">
        <is>
          <t>Se relaciona con</t>
        </is>
      </c>
      <c r="F6" s="42" t="inlineStr">
        <is>
          <t>Cardinalidad</t>
        </is>
      </c>
      <c r="G6" s="42" t="inlineStr">
        <is>
          <t>Dirección</t>
        </is>
      </c>
      <c r="H6" s="42" t="inlineStr">
        <is>
          <t>Prueba y resultado</t>
        </is>
      </c>
    </row>
    <row r="7" ht="27.75" customHeight="1" s="29">
      <c r="A7" s="52" t="inlineStr">
        <is>
          <t>fact_produccion_turno</t>
        </is>
      </c>
      <c r="B7" s="52" t="inlineStr">
        <is>
          <t>Hecho</t>
        </is>
      </c>
      <c r="C7" s="52" t="inlineStr">
        <is>
          <t>Un turno de un activo en un día</t>
        </is>
      </c>
      <c r="D7" s="52" t="inlineStr">
        <is>
          <t>fecha+turno+id_activo</t>
        </is>
      </c>
      <c r="E7" s="52" t="inlineStr">
        <is>
          <t>dim_activo</t>
        </is>
      </c>
      <c r="F7" s="52" t="inlineStr">
        <is>
          <t>Varios a uno</t>
        </is>
      </c>
      <c r="G7" s="52" t="inlineStr">
        <is>
          <t>Única</t>
        </is>
      </c>
      <c r="H7" s="52" t="inlineStr">
        <is>
          <t>Toneladas por área suman 483.857,58 t</t>
        </is>
      </c>
    </row>
    <row r="8" ht="15" customHeight="1" s="29">
      <c r="A8" s="43" t="n"/>
      <c r="B8" s="43" t="n"/>
      <c r="C8" s="43" t="n"/>
      <c r="D8" s="43" t="n"/>
      <c r="E8" s="43" t="n"/>
      <c r="F8" s="43" t="n"/>
      <c r="G8" s="43" t="n"/>
      <c r="H8" s="43" t="n"/>
    </row>
    <row r="9" ht="15" customHeight="1" s="29">
      <c r="A9" s="43" t="n"/>
      <c r="B9" s="43" t="n"/>
      <c r="C9" s="43" t="n"/>
      <c r="D9" s="43" t="n"/>
      <c r="E9" s="43" t="n"/>
      <c r="F9" s="43" t="n"/>
      <c r="G9" s="43" t="n"/>
      <c r="H9" s="43" t="n"/>
    </row>
    <row r="10" ht="15" customHeight="1" s="29">
      <c r="A10" s="43" t="n"/>
      <c r="B10" s="43" t="n"/>
      <c r="C10" s="43" t="n"/>
      <c r="D10" s="43" t="n"/>
      <c r="E10" s="43" t="n"/>
      <c r="F10" s="43" t="n"/>
      <c r="G10" s="43" t="n"/>
      <c r="H10" s="43" t="n"/>
    </row>
    <row r="11" ht="15" customHeight="1" s="29">
      <c r="A11" s="43" t="n"/>
      <c r="B11" s="43" t="n"/>
      <c r="C11" s="43" t="n"/>
      <c r="D11" s="43" t="n"/>
      <c r="E11" s="43" t="n"/>
      <c r="F11" s="43" t="n"/>
      <c r="G11" s="43" t="n"/>
      <c r="H11" s="43" t="n"/>
    </row>
    <row r="12" ht="15" customHeight="1" s="29">
      <c r="A12" s="43" t="n"/>
      <c r="B12" s="43" t="n"/>
      <c r="C12" s="43" t="n"/>
      <c r="D12" s="43" t="n"/>
      <c r="E12" s="43" t="n"/>
      <c r="F12" s="43" t="n"/>
      <c r="G12" s="43" t="n"/>
      <c r="H12" s="43" t="n"/>
    </row>
    <row r="13" ht="15" customHeight="1" s="29">
      <c r="A13" s="43" t="n"/>
      <c r="B13" s="43" t="n"/>
      <c r="C13" s="43" t="n"/>
      <c r="D13" s="43" t="n"/>
      <c r="E13" s="43" t="n"/>
      <c r="F13" s="43" t="n"/>
      <c r="G13" s="43" t="n"/>
      <c r="H13" s="43" t="n"/>
    </row>
    <row r="14" ht="15" customHeight="1" s="29">
      <c r="A14" s="43" t="n"/>
      <c r="B14" s="43" t="n"/>
      <c r="C14" s="43" t="n"/>
      <c r="D14" s="43" t="n"/>
      <c r="E14" s="43" t="n"/>
      <c r="F14" s="43" t="n"/>
      <c r="G14" s="43" t="n"/>
      <c r="H14" s="43" t="n"/>
    </row>
    <row r="15" ht="15" customHeight="1" s="29">
      <c r="A15" s="43" t="n"/>
      <c r="B15" s="43" t="n"/>
      <c r="C15" s="43" t="n"/>
      <c r="D15" s="43" t="n"/>
      <c r="E15" s="43" t="n"/>
      <c r="F15" s="43" t="n"/>
      <c r="G15" s="43" t="n"/>
      <c r="H15" s="43" t="n"/>
    </row>
    <row r="16" ht="15" customHeight="1" s="29">
      <c r="A16" s="43" t="n"/>
      <c r="B16" s="43" t="n"/>
      <c r="C16" s="43" t="n"/>
      <c r="D16" s="43" t="n"/>
      <c r="E16" s="43" t="n"/>
      <c r="F16" s="43" t="n"/>
      <c r="G16" s="43" t="n"/>
      <c r="H16" s="43" t="n"/>
    </row>
    <row r="17" ht="15" customHeight="1" s="29">
      <c r="A17" s="43" t="n"/>
      <c r="B17" s="43" t="n"/>
      <c r="C17" s="43" t="n"/>
      <c r="D17" s="43" t="n"/>
      <c r="E17" s="43" t="n"/>
      <c r="F17" s="43" t="n"/>
      <c r="G17" s="43" t="n"/>
      <c r="H17" s="43" t="n"/>
    </row>
    <row r="18" ht="15" customHeight="1" s="29">
      <c r="A18" s="43" t="n"/>
      <c r="B18" s="43" t="n"/>
      <c r="C18" s="43" t="n"/>
      <c r="D18" s="43" t="n"/>
      <c r="E18" s="43" t="n"/>
      <c r="F18" s="43" t="n"/>
      <c r="G18" s="43" t="n"/>
      <c r="H18" s="43" t="n"/>
    </row>
    <row r="19" ht="15" customHeight="1" s="29">
      <c r="A19" s="43" t="n"/>
      <c r="B19" s="43" t="n"/>
      <c r="C19" s="43" t="n"/>
      <c r="D19" s="43" t="n"/>
      <c r="E19" s="43" t="n"/>
      <c r="F19" s="43" t="n"/>
      <c r="G19" s="43" t="n"/>
      <c r="H19" s="43" t="n"/>
    </row>
    <row r="20" ht="15" customHeight="1" s="29">
      <c r="A20" s="43" t="n"/>
      <c r="B20" s="43" t="n"/>
      <c r="C20" s="43" t="n"/>
      <c r="D20" s="43" t="n"/>
      <c r="E20" s="43" t="n"/>
      <c r="F20" s="43" t="n"/>
      <c r="G20" s="43" t="n"/>
      <c r="H20" s="43" t="n"/>
    </row>
    <row r="21" ht="15" customHeight="1" s="29">
      <c r="A21" s="43" t="n"/>
      <c r="B21" s="43" t="n"/>
      <c r="C21" s="43" t="n"/>
      <c r="D21" s="43" t="n"/>
      <c r="E21" s="43" t="n"/>
      <c r="F21" s="43" t="n"/>
      <c r="G21" s="43" t="n"/>
      <c r="H21" s="43" t="n"/>
    </row>
    <row r="22" ht="15" customHeight="1" s="29">
      <c r="A22" s="43" t="n"/>
      <c r="B22" s="43" t="n"/>
      <c r="C22" s="43" t="n"/>
      <c r="D22" s="43" t="n"/>
      <c r="E22" s="43" t="n"/>
      <c r="F22" s="43" t="n"/>
      <c r="G22" s="43" t="n"/>
      <c r="H22" s="43" t="n"/>
    </row>
  </sheetData>
  <mergeCells count="1">
    <mergeCell ref="A3:H3"/>
  </mergeCells>
  <dataValidations count="3">
    <dataValidation sqref="B7:B22" showDropDown="0" showInputMessage="0" showErrorMessage="0" allowBlank="1" type="list" errorStyle="stop" operator="between">
      <formula1>"Hecho,Dimensión,Desconectada,Excepciones"</formula1>
      <formula2>0</formula2>
    </dataValidation>
    <dataValidation sqref="F7:F22" showDropDown="0" showInputMessage="0" showErrorMessage="0" allowBlank="1" type="list" errorStyle="stop" operator="between">
      <formula1>"Varios a uno,Uno a uno,Varios a varios"</formula1>
      <formula2>0</formula2>
    </dataValidation>
    <dataValidation sqref="G7:G22" showDropDown="0" showInputMessage="0" showErrorMessage="0" allowBlank="1" type="list" errorStyle="stop" operator="between">
      <formula1>"Única,Ambas"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32" customWidth="1" style="28" min="3" max="3"/>
    <col width="14" customWidth="1" style="28" min="4" max="5"/>
    <col width="11" customWidth="1" style="28" min="6" max="6"/>
    <col width="34" customWidth="1" style="28" min="7" max="7"/>
  </cols>
  <sheetData>
    <row r="1" ht="15" customHeight="1" s="29">
      <c r="A1" s="35" t="inlineStr">
        <is>
          <t>SESIÓN 07 · HITO</t>
        </is>
      </c>
    </row>
    <row r="2" ht="17.25" customHeight="1" s="29">
      <c r="A2" s="36" t="inlineStr">
        <is>
          <t>KPI del subcaso validados</t>
        </is>
      </c>
    </row>
    <row r="3" ht="30" customHeight="1" s="29">
      <c r="A3" s="31" t="inlineStr">
        <is>
          <t>Tres KPI como mínimo. El cálculo manual se hace sobre una fila o periodo conocido. La columna Coincide se calcula sola. Cada KPI validado aquí debe tener su fila en la hoja Fichas KPI.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KPI</t>
        </is>
      </c>
      <c r="B6" s="42" t="inlineStr">
        <is>
          <t>Medida DAX (nombre)</t>
        </is>
      </c>
      <c r="C6" s="42" t="inlineStr">
        <is>
          <t>Contexto de prueba</t>
        </is>
      </c>
      <c r="D6" s="42" t="inlineStr">
        <is>
          <t>Cálculo manual</t>
        </is>
      </c>
      <c r="E6" s="42" t="inlineStr">
        <is>
          <t>Valor en Power BI</t>
        </is>
      </c>
      <c r="F6" s="42" t="inlineStr">
        <is>
          <t>¿Coincide?</t>
        </is>
      </c>
      <c r="G6" s="42" t="inlineStr">
        <is>
          <t>Si no coincide: dónde se separa</t>
        </is>
      </c>
    </row>
    <row r="7" ht="15" customHeight="1" s="29">
      <c r="A7" s="52" t="inlineStr">
        <is>
          <t>OEE</t>
        </is>
      </c>
      <c r="B7" s="52" t="inlineStr">
        <is>
          <t>OEE</t>
        </is>
      </c>
      <c r="C7" s="52" t="inlineStr">
        <is>
          <t>COMP-04 · turno B · 06/10/2026</t>
        </is>
      </c>
      <c r="D7" s="54" t="n">
        <v>0.777</v>
      </c>
      <c r="E7" s="54" t="n">
        <v>0.777</v>
      </c>
      <c r="F7" s="52">
        <f>IF(OR(D7="",E7=""),"",IF(ABS(D7-E7)&lt;0.0005,"Sí","No"))</f>
        <v/>
      </c>
      <c r="G7" s="52" t="n"/>
    </row>
    <row r="8" ht="15" customHeight="1" s="29">
      <c r="A8" s="43" t="n"/>
      <c r="B8" s="43" t="n"/>
      <c r="C8" s="43" t="n"/>
      <c r="D8" s="44" t="n"/>
      <c r="E8" s="44" t="n"/>
      <c r="F8" s="43">
        <f>IF(OR(D8="",E8=""),"",IF(ABS(D8-E8)&lt;0.0005,"Sí","No"))</f>
        <v/>
      </c>
      <c r="G8" s="43" t="n"/>
    </row>
    <row r="9" ht="15" customHeight="1" s="29">
      <c r="A9" s="43" t="n"/>
      <c r="B9" s="43" t="n"/>
      <c r="C9" s="43" t="n"/>
      <c r="D9" s="44" t="n"/>
      <c r="E9" s="44" t="n"/>
      <c r="F9" s="43">
        <f>IF(OR(D9="",E9=""),"",IF(ABS(D9-E9)&lt;0.0005,"Sí","No"))</f>
        <v/>
      </c>
      <c r="G9" s="43" t="n"/>
    </row>
    <row r="10" ht="15" customHeight="1" s="29">
      <c r="A10" s="43" t="n"/>
      <c r="B10" s="43" t="n"/>
      <c r="C10" s="43" t="n"/>
      <c r="D10" s="44" t="n"/>
      <c r="E10" s="44" t="n"/>
      <c r="F10" s="43">
        <f>IF(OR(D10="",E10=""),"",IF(ABS(D10-E10)&lt;0.0005,"Sí","No"))</f>
        <v/>
      </c>
      <c r="G10" s="43" t="n"/>
    </row>
    <row r="11" ht="15" customHeight="1" s="29">
      <c r="A11" s="43" t="n"/>
      <c r="B11" s="43" t="n"/>
      <c r="C11" s="43" t="n"/>
      <c r="D11" s="44" t="n"/>
      <c r="E11" s="44" t="n"/>
      <c r="F11" s="43">
        <f>IF(OR(D11="",E11=""),"",IF(ABS(D11-E11)&lt;0.0005,"Sí","No"))</f>
        <v/>
      </c>
      <c r="G11" s="43" t="n"/>
    </row>
    <row r="12" ht="15" customHeight="1" s="29">
      <c r="A12" s="43" t="n"/>
      <c r="B12" s="43" t="n"/>
      <c r="C12" s="43" t="n"/>
      <c r="D12" s="44" t="n"/>
      <c r="E12" s="44" t="n"/>
      <c r="F12" s="43">
        <f>IF(OR(D12="",E12=""),"",IF(ABS(D12-E12)&lt;0.0005,"Sí","No"))</f>
        <v/>
      </c>
      <c r="G12" s="43" t="n"/>
    </row>
    <row r="13" ht="15" customHeight="1" s="29">
      <c r="A13" s="43" t="n"/>
      <c r="B13" s="43" t="n"/>
      <c r="C13" s="43" t="n"/>
      <c r="D13" s="44" t="n"/>
      <c r="E13" s="44" t="n"/>
      <c r="F13" s="43">
        <f>IF(OR(D13="",E13=""),"",IF(ABS(D13-E13)&lt;0.0005,"Sí","No"))</f>
        <v/>
      </c>
      <c r="G13" s="43" t="n"/>
    </row>
    <row r="14" ht="15" customHeight="1" s="29">
      <c r="A14" s="43" t="n"/>
      <c r="B14" s="43" t="n"/>
      <c r="C14" s="43" t="n"/>
      <c r="D14" s="44" t="n"/>
      <c r="E14" s="44" t="n"/>
      <c r="F14" s="43">
        <f>IF(OR(D14="",E14=""),"",IF(ABS(D14-E14)&lt;0.0005,"Sí","No"))</f>
        <v/>
      </c>
      <c r="G14" s="43" t="n"/>
    </row>
    <row r="15" ht="15" customHeight="1" s="29">
      <c r="A15" s="43" t="n"/>
      <c r="B15" s="43" t="n"/>
      <c r="C15" s="43" t="n"/>
      <c r="D15" s="44" t="n"/>
      <c r="E15" s="44" t="n"/>
      <c r="F15" s="43">
        <f>IF(OR(D15="",E15=""),"",IF(ABS(D15-E15)&lt;0.0005,"Sí","No"))</f>
        <v/>
      </c>
      <c r="G15" s="43" t="n"/>
    </row>
    <row r="16" ht="15" customHeight="1" s="29">
      <c r="A16" s="43" t="n"/>
      <c r="B16" s="43" t="n"/>
      <c r="C16" s="43" t="n"/>
      <c r="D16" s="44" t="n"/>
      <c r="E16" s="44" t="n"/>
      <c r="F16" s="43">
        <f>IF(OR(D16="",E16=""),"",IF(ABS(D16-E16)&lt;0.0005,"Sí","No"))</f>
        <v/>
      </c>
      <c r="G16" s="43" t="n"/>
    </row>
    <row r="17" ht="15" customHeight="1" s="29">
      <c r="A17" s="43" t="n"/>
      <c r="B17" s="43" t="n"/>
      <c r="C17" s="43" t="n"/>
      <c r="D17" s="44" t="n"/>
      <c r="E17" s="44" t="n"/>
      <c r="F17" s="43">
        <f>IF(OR(D17="",E17=""),"",IF(ABS(D17-E17)&lt;0.0005,"Sí","No"))</f>
        <v/>
      </c>
      <c r="G17" s="43" t="n"/>
    </row>
    <row r="18" ht="15" customHeight="1" s="29">
      <c r="A18" s="43" t="n"/>
      <c r="B18" s="43" t="n"/>
      <c r="C18" s="43" t="n"/>
      <c r="D18" s="44" t="n"/>
      <c r="E18" s="44" t="n"/>
      <c r="F18" s="43">
        <f>IF(OR(D18="",E18=""),"",IF(ABS(D18-E18)&lt;0.0005,"Sí","No"))</f>
        <v/>
      </c>
      <c r="G18" s="43" t="n"/>
    </row>
    <row r="19" ht="15" customHeight="1" s="29">
      <c r="A19" s="43" t="n"/>
      <c r="B19" s="43" t="n"/>
      <c r="C19" s="43" t="n"/>
      <c r="D19" s="44" t="n"/>
      <c r="E19" s="44" t="n"/>
      <c r="F19" s="43">
        <f>IF(OR(D19="",E19=""),"",IF(ABS(D19-E19)&lt;0.0005,"Sí","No"))</f>
        <v/>
      </c>
      <c r="G19" s="43" t="n"/>
    </row>
    <row r="20" ht="15" customHeight="1" s="29">
      <c r="A20" s="43" t="n"/>
      <c r="B20" s="43" t="n"/>
      <c r="C20" s="43" t="n"/>
      <c r="D20" s="44" t="n"/>
      <c r="E20" s="44" t="n"/>
      <c r="F20" s="43">
        <f>IF(OR(D20="",E20=""),"",IF(ABS(D20-E20)&lt;0.0005,"Sí","No"))</f>
        <v/>
      </c>
      <c r="G20" s="43" t="n"/>
    </row>
    <row r="21" ht="15" customHeight="1" s="29">
      <c r="A21" s="43" t="n"/>
      <c r="B21" s="43" t="n"/>
      <c r="C21" s="43" t="n"/>
      <c r="D21" s="44" t="n"/>
      <c r="E21" s="44" t="n"/>
      <c r="F21" s="43">
        <f>IF(OR(D21="",E21=""),"",IF(ABS(D21-E21)&lt;0.0005,"Sí","No"))</f>
        <v/>
      </c>
      <c r="G21" s="43" t="n"/>
    </row>
    <row r="22" ht="15" customHeight="1" s="29">
      <c r="A22" s="43" t="n"/>
      <c r="B22" s="43" t="n"/>
      <c r="C22" s="43" t="n"/>
      <c r="D22" s="44" t="n"/>
      <c r="E22" s="44" t="n"/>
      <c r="F22" s="43">
        <f>IF(OR(D22="",E22=""),"",IF(ABS(D22-E22)&lt;0.0005,"Sí","No"))</f>
        <v/>
      </c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24" customWidth="1" style="28" min="2" max="2"/>
    <col width="10" customWidth="1" style="28" min="3" max="6"/>
    <col width="28" customWidth="1" style="28" min="7" max="8"/>
  </cols>
  <sheetData>
    <row r="1" ht="15" customHeight="1" s="29">
      <c r="A1" s="35" t="inlineStr">
        <is>
          <t>SESIÓN 10 · HITO</t>
        </is>
      </c>
    </row>
    <row r="2" ht="17.25" customHeight="1" s="29">
      <c r="A2" s="36" t="inlineStr">
        <is>
          <t>Ficha de supuestos del escenario</t>
        </is>
      </c>
    </row>
    <row r="3" ht="30" customHeight="1" s="29">
      <c r="A3" s="31" t="inlineStr">
        <is>
          <t>Una fila por parámetro What-if. El rango debe ser físicamente posible y tener fuente.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Variable</t>
        </is>
      </c>
      <c r="B6" s="42" t="inlineStr">
        <is>
          <t>Fuente del valor</t>
        </is>
      </c>
      <c r="C6" s="42" t="inlineStr">
        <is>
          <t>Unidad</t>
        </is>
      </c>
      <c r="D6" s="42" t="inlineStr">
        <is>
          <t>Mínimo</t>
        </is>
      </c>
      <c r="E6" s="42" t="inlineStr">
        <is>
          <t>Centro</t>
        </is>
      </c>
      <c r="F6" s="42" t="inlineStr">
        <is>
          <t>Máximo</t>
        </is>
      </c>
      <c r="G6" s="42" t="inlineStr">
        <is>
          <t>Qué se mantiene constante</t>
        </is>
      </c>
      <c r="H6" s="42" t="inlineStr">
        <is>
          <t>Resultado mín / centro / máx</t>
        </is>
      </c>
    </row>
    <row r="7" ht="15" customHeight="1" s="29">
      <c r="A7" s="52" t="inlineStr">
        <is>
          <t>Calidad</t>
        </is>
      </c>
      <c r="B7" s="52" t="inlineStr">
        <is>
          <t>Observada 2026 (dataset)</t>
        </is>
      </c>
      <c r="C7" s="52" t="inlineStr">
        <is>
          <t>%</t>
        </is>
      </c>
      <c r="D7" s="54" t="n">
        <v>0.959</v>
      </c>
      <c r="E7" s="54" t="n">
        <v>0.969</v>
      </c>
      <c r="F7" s="54" t="n">
        <v>0.979</v>
      </c>
      <c r="G7" s="52" t="inlineStr">
        <is>
          <t>Disponibilidad y rendimiento</t>
        </is>
      </c>
      <c r="H7" s="52" t="inlineStr">
        <is>
          <t>77,7 % / 78,5 % / 79,3 %</t>
        </is>
      </c>
    </row>
    <row r="8" ht="15" customHeight="1" s="29">
      <c r="A8" s="43" t="n"/>
      <c r="B8" s="43" t="n"/>
      <c r="C8" s="43" t="n"/>
      <c r="D8" s="44" t="n"/>
      <c r="E8" s="44" t="n"/>
      <c r="F8" s="44" t="n"/>
      <c r="G8" s="43" t="n"/>
      <c r="H8" s="43" t="n"/>
    </row>
    <row r="9" ht="15" customHeight="1" s="29">
      <c r="A9" s="43" t="n"/>
      <c r="B9" s="43" t="n"/>
      <c r="C9" s="43" t="n"/>
      <c r="D9" s="44" t="n"/>
      <c r="E9" s="44" t="n"/>
      <c r="F9" s="44" t="n"/>
      <c r="G9" s="43" t="n"/>
      <c r="H9" s="43" t="n"/>
    </row>
    <row r="10" ht="15" customHeight="1" s="29">
      <c r="A10" s="43" t="n"/>
      <c r="B10" s="43" t="n"/>
      <c r="C10" s="43" t="n"/>
      <c r="D10" s="44" t="n"/>
      <c r="E10" s="44" t="n"/>
      <c r="F10" s="44" t="n"/>
      <c r="G10" s="43" t="n"/>
      <c r="H10" s="43" t="n"/>
    </row>
    <row r="11" ht="15" customHeight="1" s="29">
      <c r="A11" s="43" t="n"/>
      <c r="B11" s="43" t="n"/>
      <c r="C11" s="43" t="n"/>
      <c r="D11" s="44" t="n"/>
      <c r="E11" s="44" t="n"/>
      <c r="F11" s="44" t="n"/>
      <c r="G11" s="43" t="n"/>
      <c r="H11" s="43" t="n"/>
    </row>
    <row r="12" ht="15" customHeight="1" s="29">
      <c r="A12" s="43" t="n"/>
      <c r="B12" s="43" t="n"/>
      <c r="C12" s="43" t="n"/>
      <c r="D12" s="44" t="n"/>
      <c r="E12" s="44" t="n"/>
      <c r="F12" s="44" t="n"/>
      <c r="G12" s="43" t="n"/>
      <c r="H12" s="43" t="n"/>
    </row>
    <row r="13" ht="15" customHeight="1" s="29">
      <c r="A13" s="43" t="n"/>
      <c r="B13" s="43" t="n"/>
      <c r="C13" s="43" t="n"/>
      <c r="D13" s="44" t="n"/>
      <c r="E13" s="44" t="n"/>
      <c r="F13" s="44" t="n"/>
      <c r="G13" s="43" t="n"/>
      <c r="H13" s="43" t="n"/>
    </row>
    <row r="14" ht="15" customHeight="1" s="29">
      <c r="A14" s="43" t="n"/>
      <c r="B14" s="43" t="n"/>
      <c r="C14" s="43" t="n"/>
      <c r="D14" s="44" t="n"/>
      <c r="E14" s="44" t="n"/>
      <c r="F14" s="44" t="n"/>
      <c r="G14" s="43" t="n"/>
      <c r="H14" s="43" t="n"/>
    </row>
    <row r="15" ht="15" customHeight="1" s="29">
      <c r="A15" s="43" t="n"/>
      <c r="B15" s="43" t="n"/>
      <c r="C15" s="43" t="n"/>
      <c r="D15" s="44" t="n"/>
      <c r="E15" s="44" t="n"/>
      <c r="F15" s="44" t="n"/>
      <c r="G15" s="43" t="n"/>
      <c r="H15" s="43" t="n"/>
    </row>
    <row r="16" ht="15" customHeight="1" s="29">
      <c r="A16" s="43" t="n"/>
      <c r="B16" s="43" t="n"/>
      <c r="C16" s="43" t="n"/>
      <c r="D16" s="44" t="n"/>
      <c r="E16" s="44" t="n"/>
      <c r="F16" s="44" t="n"/>
      <c r="G16" s="43" t="n"/>
      <c r="H16" s="43" t="n"/>
    </row>
    <row r="17" ht="15" customHeight="1" s="29">
      <c r="A17" s="43" t="n"/>
      <c r="B17" s="43" t="n"/>
      <c r="C17" s="43" t="n"/>
      <c r="D17" s="44" t="n"/>
      <c r="E17" s="44" t="n"/>
      <c r="F17" s="44" t="n"/>
      <c r="G17" s="43" t="n"/>
      <c r="H17" s="43" t="n"/>
    </row>
    <row r="18" ht="15" customHeight="1" s="29">
      <c r="A18" s="43" t="n"/>
      <c r="B18" s="43" t="n"/>
      <c r="C18" s="43" t="n"/>
      <c r="D18" s="44" t="n"/>
      <c r="E18" s="44" t="n"/>
      <c r="F18" s="44" t="n"/>
      <c r="G18" s="43" t="n"/>
      <c r="H18" s="43" t="n"/>
    </row>
    <row r="19" ht="15" customHeight="1" s="29">
      <c r="A19" s="43" t="n"/>
      <c r="B19" s="43" t="n"/>
      <c r="C19" s="43" t="n"/>
      <c r="D19" s="44" t="n"/>
      <c r="E19" s="44" t="n"/>
      <c r="F19" s="44" t="n"/>
      <c r="G19" s="43" t="n"/>
      <c r="H19" s="43" t="n"/>
    </row>
    <row r="20" ht="15" customHeight="1" s="29">
      <c r="A20" s="43" t="n"/>
      <c r="B20" s="43" t="n"/>
      <c r="C20" s="43" t="n"/>
      <c r="D20" s="44" t="n"/>
      <c r="E20" s="44" t="n"/>
      <c r="F20" s="44" t="n"/>
      <c r="G20" s="43" t="n"/>
      <c r="H20" s="43" t="n"/>
    </row>
    <row r="21" ht="15" customHeight="1" s="29">
      <c r="A21" s="43" t="n"/>
      <c r="B21" s="43" t="n"/>
      <c r="C21" s="43" t="n"/>
      <c r="D21" s="44" t="n"/>
      <c r="E21" s="44" t="n"/>
      <c r="F21" s="44" t="n"/>
      <c r="G21" s="43" t="n"/>
      <c r="H21" s="43" t="n"/>
    </row>
    <row r="22" ht="15" customHeight="1" s="29">
      <c r="A22" s="43" t="n"/>
      <c r="B22" s="43" t="n"/>
      <c r="C22" s="43" t="n"/>
      <c r="D22" s="44" t="n"/>
      <c r="E22" s="44" t="n"/>
      <c r="F22" s="44" t="n"/>
      <c r="G22" s="43" t="n"/>
      <c r="H22" s="43" t="n"/>
    </row>
  </sheetData>
  <mergeCells count="1">
    <mergeCell ref="A3:H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8" min="1" max="1"/>
    <col width="18" customWidth="1" style="28" min="2" max="2"/>
    <col width="30" customWidth="1" style="28" min="3" max="3"/>
    <col width="13" customWidth="1" style="28" min="4" max="4"/>
    <col width="12" customWidth="1" style="28" min="5" max="5"/>
    <col width="11" customWidth="1" style="28" min="6" max="6"/>
    <col width="30" customWidth="1" style="28" min="7" max="7"/>
  </cols>
  <sheetData>
    <row r="1" ht="15" customHeight="1" s="29">
      <c r="A1" s="35" t="inlineStr">
        <is>
          <t>SESIÓN 11 · HITO</t>
        </is>
      </c>
    </row>
    <row r="2" ht="17.25" customHeight="1" s="29">
      <c r="A2" s="36" t="inlineStr">
        <is>
          <t>Matriz de pruebas de seguridad por filas</t>
        </is>
      </c>
    </row>
    <row r="3" ht="30" customHeight="1" s="29">
      <c r="A3" s="31" t="inlineStr">
        <is>
          <t>Una fila por prueba con Ver como rol. Incluya siempre una prueba negativa y un usuario sin mapeo. El resultado se calcula solo.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Usuario (correo)</t>
        </is>
      </c>
      <c r="B6" s="42" t="inlineStr">
        <is>
          <t>Rol</t>
        </is>
      </c>
      <c r="C6" s="42" t="inlineStr">
        <is>
          <t>Qué debería ver</t>
        </is>
      </c>
      <c r="D6" s="42" t="inlineStr">
        <is>
          <t>Filas esperadas</t>
        </is>
      </c>
      <c r="E6" s="42" t="inlineStr">
        <is>
          <t>Filas vistas</t>
        </is>
      </c>
      <c r="F6" s="42" t="inlineStr">
        <is>
          <t>Resultado</t>
        </is>
      </c>
      <c r="G6" s="42" t="inlineStr">
        <is>
          <t>Observación</t>
        </is>
      </c>
    </row>
    <row r="7" ht="15" customHeight="1" s="29">
      <c r="A7" s="52" t="inlineStr">
        <is>
          <t>sloayza@aceria-andina.example</t>
        </is>
      </c>
      <c r="B7" s="52" t="inlineStr">
        <is>
          <t>Supervisor de turno</t>
        </is>
      </c>
      <c r="C7" s="52" t="inlineStr">
        <is>
          <t>Solo COMP-04, turno B</t>
        </is>
      </c>
      <c r="D7" s="53" t="n">
        <v>645</v>
      </c>
      <c r="E7" s="53" t="n">
        <v>645</v>
      </c>
      <c r="F7" s="52">
        <f>IF(OR(D7="",E7=""),"",IF(D7=E7,"Pasa","Falla"))</f>
        <v/>
      </c>
      <c r="G7" s="52" t="n"/>
    </row>
    <row r="8" ht="15" customHeight="1" s="29">
      <c r="A8" s="43" t="n"/>
      <c r="B8" s="43" t="n"/>
      <c r="C8" s="43" t="n"/>
      <c r="D8" s="51" t="n"/>
      <c r="E8" s="51" t="n"/>
      <c r="F8" s="43">
        <f>IF(OR(D8="",E8=""),"",IF(D8=E8,"Pasa","Falla"))</f>
        <v/>
      </c>
      <c r="G8" s="43" t="n"/>
    </row>
    <row r="9" ht="15" customHeight="1" s="29">
      <c r="A9" s="43" t="n"/>
      <c r="B9" s="43" t="n"/>
      <c r="C9" s="43" t="n"/>
      <c r="D9" s="51" t="n"/>
      <c r="E9" s="51" t="n"/>
      <c r="F9" s="43">
        <f>IF(OR(D9="",E9=""),"",IF(D9=E9,"Pasa","Falla"))</f>
        <v/>
      </c>
      <c r="G9" s="43" t="n"/>
    </row>
    <row r="10" ht="15" customHeight="1" s="29">
      <c r="A10" s="43" t="n"/>
      <c r="B10" s="43" t="n"/>
      <c r="C10" s="43" t="n"/>
      <c r="D10" s="51" t="n"/>
      <c r="E10" s="51" t="n"/>
      <c r="F10" s="43">
        <f>IF(OR(D10="",E10=""),"",IF(D10=E10,"Pasa","Falla"))</f>
        <v/>
      </c>
      <c r="G10" s="43" t="n"/>
    </row>
    <row r="11" ht="15" customHeight="1" s="29">
      <c r="A11" s="43" t="n"/>
      <c r="B11" s="43" t="n"/>
      <c r="C11" s="43" t="n"/>
      <c r="D11" s="51" t="n"/>
      <c r="E11" s="51" t="n"/>
      <c r="F11" s="43">
        <f>IF(OR(D11="",E11=""),"",IF(D11=E11,"Pasa","Falla"))</f>
        <v/>
      </c>
      <c r="G11" s="43" t="n"/>
    </row>
    <row r="12" ht="15" customHeight="1" s="29">
      <c r="A12" s="43" t="n"/>
      <c r="B12" s="43" t="n"/>
      <c r="C12" s="43" t="n"/>
      <c r="D12" s="51" t="n"/>
      <c r="E12" s="51" t="n"/>
      <c r="F12" s="43">
        <f>IF(OR(D12="",E12=""),"",IF(D12=E12,"Pasa","Falla"))</f>
        <v/>
      </c>
      <c r="G12" s="43" t="n"/>
    </row>
    <row r="13" ht="15" customHeight="1" s="29">
      <c r="A13" s="43" t="n"/>
      <c r="B13" s="43" t="n"/>
      <c r="C13" s="43" t="n"/>
      <c r="D13" s="51" t="n"/>
      <c r="E13" s="51" t="n"/>
      <c r="F13" s="43">
        <f>IF(OR(D13="",E13=""),"",IF(D13=E13,"Pasa","Falla"))</f>
        <v/>
      </c>
      <c r="G13" s="43" t="n"/>
    </row>
    <row r="14" ht="15" customHeight="1" s="29">
      <c r="A14" s="43" t="n"/>
      <c r="B14" s="43" t="n"/>
      <c r="C14" s="43" t="n"/>
      <c r="D14" s="51" t="n"/>
      <c r="E14" s="51" t="n"/>
      <c r="F14" s="43">
        <f>IF(OR(D14="",E14=""),"",IF(D14=E14,"Pasa","Falla"))</f>
        <v/>
      </c>
      <c r="G14" s="43" t="n"/>
    </row>
    <row r="15" ht="15" customHeight="1" s="29">
      <c r="A15" s="43" t="n"/>
      <c r="B15" s="43" t="n"/>
      <c r="C15" s="43" t="n"/>
      <c r="D15" s="51" t="n"/>
      <c r="E15" s="51" t="n"/>
      <c r="F15" s="43">
        <f>IF(OR(D15="",E15=""),"",IF(D15=E15,"Pasa","Falla"))</f>
        <v/>
      </c>
      <c r="G15" s="43" t="n"/>
    </row>
    <row r="16" ht="15" customHeight="1" s="29">
      <c r="A16" s="43" t="n"/>
      <c r="B16" s="43" t="n"/>
      <c r="C16" s="43" t="n"/>
      <c r="D16" s="51" t="n"/>
      <c r="E16" s="51" t="n"/>
      <c r="F16" s="43">
        <f>IF(OR(D16="",E16=""),"",IF(D16=E16,"Pasa","Falla"))</f>
        <v/>
      </c>
      <c r="G16" s="43" t="n"/>
    </row>
    <row r="17" ht="15" customHeight="1" s="29">
      <c r="A17" s="43" t="n"/>
      <c r="B17" s="43" t="n"/>
      <c r="C17" s="43" t="n"/>
      <c r="D17" s="51" t="n"/>
      <c r="E17" s="51" t="n"/>
      <c r="F17" s="43">
        <f>IF(OR(D17="",E17=""),"",IF(D17=E17,"Pasa","Falla"))</f>
        <v/>
      </c>
      <c r="G17" s="43" t="n"/>
    </row>
    <row r="18" ht="15" customHeight="1" s="29">
      <c r="A18" s="43" t="n"/>
      <c r="B18" s="43" t="n"/>
      <c r="C18" s="43" t="n"/>
      <c r="D18" s="51" t="n"/>
      <c r="E18" s="51" t="n"/>
      <c r="F18" s="43">
        <f>IF(OR(D18="",E18=""),"",IF(D18=E18,"Pasa","Falla"))</f>
        <v/>
      </c>
      <c r="G18" s="43" t="n"/>
    </row>
    <row r="19" ht="15" customHeight="1" s="29">
      <c r="A19" s="43" t="n"/>
      <c r="B19" s="43" t="n"/>
      <c r="C19" s="43" t="n"/>
      <c r="D19" s="51" t="n"/>
      <c r="E19" s="51" t="n"/>
      <c r="F19" s="43">
        <f>IF(OR(D19="",E19=""),"",IF(D19=E19,"Pasa","Falla"))</f>
        <v/>
      </c>
      <c r="G19" s="43" t="n"/>
    </row>
    <row r="20" ht="15" customHeight="1" s="29">
      <c r="A20" s="43" t="n"/>
      <c r="B20" s="43" t="n"/>
      <c r="C20" s="43" t="n"/>
      <c r="D20" s="51" t="n"/>
      <c r="E20" s="51" t="n"/>
      <c r="F20" s="43">
        <f>IF(OR(D20="",E20=""),"",IF(D20=E20,"Pasa","Falla"))</f>
        <v/>
      </c>
      <c r="G20" s="43" t="n"/>
    </row>
    <row r="21" ht="15" customHeight="1" s="29">
      <c r="A21" s="43" t="n"/>
      <c r="B21" s="43" t="n"/>
      <c r="C21" s="43" t="n"/>
      <c r="D21" s="51" t="n"/>
      <c r="E21" s="51" t="n"/>
      <c r="F21" s="43">
        <f>IF(OR(D21="",E21=""),"",IF(D21=E21,"Pasa","Falla"))</f>
        <v/>
      </c>
      <c r="G21" s="43" t="n"/>
    </row>
    <row r="22" ht="15" customHeight="1" s="29">
      <c r="A22" s="43" t="n"/>
      <c r="B22" s="43" t="n"/>
      <c r="C22" s="43" t="n"/>
      <c r="D22" s="51" t="n"/>
      <c r="E22" s="51" t="n"/>
      <c r="F22" s="43">
        <f>IF(OR(D22="",E22=""),"",IF(D22=E22,"Pasa","Falla"))</f>
        <v/>
      </c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8" min="1" max="1"/>
    <col width="40" customWidth="1" style="28" min="2" max="2"/>
    <col width="22" customWidth="1" style="28" min="3" max="3"/>
    <col width="32" customWidth="1" style="28" min="4" max="4"/>
    <col width="16" customWidth="1" style="28" min="5" max="5"/>
    <col width="30" customWidth="1" style="28" min="6" max="6"/>
    <col width="14" customWidth="1" style="28" min="7" max="7"/>
  </cols>
  <sheetData>
    <row r="1" ht="15" customHeight="1" s="29">
      <c r="A1" s="35" t="inlineStr">
        <is>
          <t>SESIÓN 12 · PREENTREGA</t>
        </is>
      </c>
    </row>
    <row r="2" ht="17.25" customHeight="1" s="29">
      <c r="A2" s="36" t="inlineStr">
        <is>
          <t>Lista de mejoras para la Sesión 13</t>
        </is>
      </c>
    </row>
    <row r="3" ht="30" customHeight="1" s="29">
      <c r="A3" s="31" t="inlineStr">
        <is>
          <t>Entre 3 y 5 mejoras priorizadas por impacto en la decisión. En la Sesión 13 se presenta el estado de cada una (criterio 7 de la rúbrica).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N.º</t>
        </is>
      </c>
      <c r="B6" s="42" t="inlineStr">
        <is>
          <t>Hallazgo (qué, dónde y por qué afecta la decisión)</t>
        </is>
      </c>
      <c r="C6" s="42" t="inlineStr">
        <is>
          <t>Criterio de la rúbrica</t>
        </is>
      </c>
      <c r="D6" s="42" t="inlineStr">
        <is>
          <t>Mejora concreta</t>
        </is>
      </c>
      <c r="E6" s="42" t="inlineStr">
        <is>
          <t>Responsable</t>
        </is>
      </c>
      <c r="F6" s="42" t="inlineStr">
        <is>
          <t>Evidencia que se mostrará</t>
        </is>
      </c>
      <c r="G6" s="42" t="inlineStr">
        <is>
          <t>Estado en S13</t>
        </is>
      </c>
    </row>
    <row r="7" ht="27.75" customHeight="1" s="29">
      <c r="A7" s="53" t="n">
        <v>1</v>
      </c>
      <c r="B7" s="52" t="inlineStr">
        <is>
          <t>La tarjeta de OEE no distingue observado y simulado</t>
        </is>
      </c>
      <c r="C7" s="52" t="inlineStr">
        <is>
          <t>4. Visualización</t>
        </is>
      </c>
      <c r="D7" s="52" t="inlineStr">
        <is>
          <t>Rotular «OEE observado» y «OEE escenario»</t>
        </is>
      </c>
      <c r="E7" s="52" t="inlineStr">
        <is>
          <t>Luis</t>
        </is>
      </c>
      <c r="F7" s="52" t="inlineStr">
        <is>
          <t>Captura antes/después</t>
        </is>
      </c>
      <c r="G7" s="52" t="inlineStr">
        <is>
          <t>Aplicada</t>
        </is>
      </c>
    </row>
    <row r="8" ht="15" customHeight="1" s="29">
      <c r="A8" s="51" t="n"/>
      <c r="B8" s="43" t="n"/>
      <c r="C8" s="43" t="n"/>
      <c r="D8" s="43" t="n"/>
      <c r="E8" s="43" t="n"/>
      <c r="F8" s="43" t="n"/>
      <c r="G8" s="43" t="n"/>
    </row>
    <row r="9" ht="15" customHeight="1" s="29">
      <c r="A9" s="51" t="n"/>
      <c r="B9" s="43" t="n"/>
      <c r="C9" s="43" t="n"/>
      <c r="D9" s="43" t="n"/>
      <c r="E9" s="43" t="n"/>
      <c r="F9" s="43" t="n"/>
      <c r="G9" s="43" t="n"/>
    </row>
    <row r="10" ht="15" customHeight="1" s="29">
      <c r="A10" s="51" t="n"/>
      <c r="B10" s="43" t="n"/>
      <c r="C10" s="43" t="n"/>
      <c r="D10" s="43" t="n"/>
      <c r="E10" s="43" t="n"/>
      <c r="F10" s="43" t="n"/>
      <c r="G10" s="43" t="n"/>
    </row>
    <row r="11" ht="15" customHeight="1" s="29">
      <c r="A11" s="51" t="n"/>
      <c r="B11" s="43" t="n"/>
      <c r="C11" s="43" t="n"/>
      <c r="D11" s="43" t="n"/>
      <c r="E11" s="43" t="n"/>
      <c r="F11" s="43" t="n"/>
      <c r="G11" s="43" t="n"/>
    </row>
    <row r="12" ht="15" customHeight="1" s="29">
      <c r="A12" s="51" t="n"/>
      <c r="B12" s="43" t="n"/>
      <c r="C12" s="43" t="n"/>
      <c r="D12" s="43" t="n"/>
      <c r="E12" s="43" t="n"/>
      <c r="F12" s="43" t="n"/>
      <c r="G12" s="43" t="n"/>
    </row>
    <row r="13" ht="15" customHeight="1" s="29">
      <c r="A13" s="51" t="n"/>
      <c r="B13" s="43" t="n"/>
      <c r="C13" s="43" t="n"/>
      <c r="D13" s="43" t="n"/>
      <c r="E13" s="43" t="n"/>
      <c r="F13" s="43" t="n"/>
      <c r="G13" s="43" t="n"/>
    </row>
    <row r="14" ht="15" customHeight="1" s="29">
      <c r="A14" s="51" t="n"/>
      <c r="B14" s="43" t="n"/>
      <c r="C14" s="43" t="n"/>
      <c r="D14" s="43" t="n"/>
      <c r="E14" s="43" t="n"/>
      <c r="F14" s="43" t="n"/>
      <c r="G14" s="43" t="n"/>
    </row>
    <row r="15" ht="15" customHeight="1" s="29">
      <c r="A15" s="51" t="n"/>
      <c r="B15" s="43" t="n"/>
      <c r="C15" s="43" t="n"/>
      <c r="D15" s="43" t="n"/>
      <c r="E15" s="43" t="n"/>
      <c r="F15" s="43" t="n"/>
      <c r="G15" s="43" t="n"/>
    </row>
    <row r="16" ht="15" customHeight="1" s="29">
      <c r="A16" s="51" t="n"/>
      <c r="B16" s="43" t="n"/>
      <c r="C16" s="43" t="n"/>
      <c r="D16" s="43" t="n"/>
      <c r="E16" s="43" t="n"/>
      <c r="F16" s="43" t="n"/>
      <c r="G16" s="43" t="n"/>
    </row>
    <row r="17" ht="15" customHeight="1" s="29">
      <c r="A17" s="51" t="n"/>
      <c r="B17" s="43" t="n"/>
      <c r="C17" s="43" t="n"/>
      <c r="D17" s="43" t="n"/>
      <c r="E17" s="43" t="n"/>
      <c r="F17" s="43" t="n"/>
      <c r="G17" s="43" t="n"/>
    </row>
    <row r="18" ht="15" customHeight="1" s="29">
      <c r="A18" s="51" t="n"/>
      <c r="B18" s="43" t="n"/>
      <c r="C18" s="43" t="n"/>
      <c r="D18" s="43" t="n"/>
      <c r="E18" s="43" t="n"/>
      <c r="F18" s="43" t="n"/>
      <c r="G18" s="43" t="n"/>
    </row>
    <row r="19" ht="15" customHeight="1" s="29">
      <c r="A19" s="51" t="n"/>
      <c r="B19" s="43" t="n"/>
      <c r="C19" s="43" t="n"/>
      <c r="D19" s="43" t="n"/>
      <c r="E19" s="43" t="n"/>
      <c r="F19" s="43" t="n"/>
      <c r="G19" s="43" t="n"/>
    </row>
    <row r="20" ht="15" customHeight="1" s="29">
      <c r="A20" s="51" t="n"/>
      <c r="B20" s="43" t="n"/>
      <c r="C20" s="43" t="n"/>
      <c r="D20" s="43" t="n"/>
      <c r="E20" s="43" t="n"/>
      <c r="F20" s="43" t="n"/>
      <c r="G20" s="43" t="n"/>
    </row>
    <row r="21" ht="15" customHeight="1" s="29">
      <c r="A21" s="51" t="n"/>
      <c r="B21" s="43" t="n"/>
      <c r="C21" s="43" t="n"/>
      <c r="D21" s="43" t="n"/>
      <c r="E21" s="43" t="n"/>
      <c r="F21" s="43" t="n"/>
      <c r="G21" s="43" t="n"/>
    </row>
    <row r="22" ht="15" customHeight="1" s="29">
      <c r="A22" s="51" t="n"/>
      <c r="B22" s="43" t="n"/>
      <c r="C22" s="43" t="n"/>
      <c r="D22" s="43" t="n"/>
      <c r="E22" s="43" t="n"/>
      <c r="F22" s="43" t="n"/>
      <c r="G22" s="43" t="n"/>
    </row>
  </sheetData>
  <mergeCells count="1">
    <mergeCell ref="A3:G3"/>
  </mergeCells>
  <dataValidations count="2">
    <dataValidation sqref="C7:C22" showDropDown="0" showInputMessage="0" showErrorMessage="0" allowBlank="1" type="list" errorStyle="stop" operator="between">
      <formula1>"1. Power Query,2. Modelo,3. DAX,4. Visualización,5. Estrategia y What-if,6. Defensa"</formula1>
      <formula2>0</formula2>
    </dataValidation>
    <dataValidation sqref="G7:G22" showDropDown="0" showInputMessage="0" showErrorMessage="0" allowBlank="1" type="list" errorStyle="stop" operator="between">
      <formula1>"Aplicada,Parcial,No aplicada (justificar)"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2026-09-28T01:30:45Z</dcterms:created>
  <dcterms:modified xmlns:dcterms="http://purl.org/dc/terms/" xmlns:xsi="http://www.w3.org/2001/XMLSchema-instance" xsi:type="dcterms:W3CDTF">2026-10-27T21:31:10Z</dcterms:modified>
  <cp:revision>0</cp:revision>
</cp:coreProperties>
</file>