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Fichas KPI" sheetId="2" state="visible" r:id="rId4"/>
    <sheet name="Campos ficha KPI" sheetId="3" state="visible" r:id="rId5"/>
    <sheet name="S01 Inventario" sheetId="4" state="visible" r:id="rId6"/>
    <sheet name="S02 Mapa Silver" sheetId="5" state="visible" r:id="rId7"/>
    <sheet name="S03 Linaje" sheetId="6" state="visible" r:id="rId8"/>
    <sheet name="S04 Antes-después" sheetId="7" state="visible" r:id="rId9"/>
    <sheet name="S05-S06 Modelo" sheetId="8" state="visible" r:id="rId10"/>
    <sheet name="S07 KPI" sheetId="9" state="visible" r:id="rId11"/>
    <sheet name="S10 Supuestos" sheetId="10" state="visible" r:id="rId12"/>
    <sheet name="S11 Pruebas RLS" sheetId="11" state="visible" r:id="rId13"/>
    <sheet name="S12 Mejora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7" authorId="0">
      <text>
        <r>
          <rPr>
            <sz val="10"/>
            <rFont val="Arial"/>
            <family val="2"/>
          </rPr>
          <t xml:space="preserve">Umbral rojo de ejemplo (75 %) definido para la clase. Cada equipo justifica el suyo.</t>
        </r>
      </text>
    </comment>
  </commentList>
</comments>
</file>

<file path=xl/sharedStrings.xml><?xml version="1.0" encoding="utf-8"?>
<sst xmlns="http://schemas.openxmlformats.org/spreadsheetml/2006/main" count="368" uniqueCount="312">
  <si>
    <t xml:space="preserve">GIAD · Módulo 4 · Plantillas del Proyecto Integrador</t>
  </si>
  <si>
    <t xml:space="preserve">Una hoja por hito. Complete la hoja del hito durante la hora de equipo (una persona comparte pantalla, el resto decide) y suba el libro a Classroom.</t>
  </si>
  <si>
    <t xml:space="preserve">La fila gris de cada hoja es un ejemplo con Acería Andina: reemplácela con los datos de su subcaso. Los hitos son formativos; el proyecto se califica en la Sesión 13.</t>
  </si>
  <si>
    <t xml:space="preserve">Hoja</t>
  </si>
  <si>
    <t xml:space="preserve">Hito</t>
  </si>
  <si>
    <t xml:space="preserve">Contenido</t>
  </si>
  <si>
    <t xml:space="preserve">Fichas KPI</t>
  </si>
  <si>
    <t xml:space="preserve">Sesiones 01–13 · hilo</t>
  </si>
  <si>
    <t xml:space="preserve">Fichas de 5 a 8 KPI del subcaso; entrada del Módulo 5</t>
  </si>
  <si>
    <t xml:space="preserve">Campos ficha KPI</t>
  </si>
  <si>
    <t xml:space="preserve">Referencia</t>
  </si>
  <si>
    <t xml:space="preserve">Qué va en cada campo y para qué lo usa el Módulo 5</t>
  </si>
  <si>
    <t xml:space="preserve">S01 Inventario</t>
  </si>
  <si>
    <t xml:space="preserve">Sesión 01 · preparación</t>
  </si>
  <si>
    <t xml:space="preserve">Inventario de tablas Silver del subcaso</t>
  </si>
  <si>
    <t xml:space="preserve">S02 Mapa Silver</t>
  </si>
  <si>
    <t xml:space="preserve">Sesión 02 · hito</t>
  </si>
  <si>
    <t xml:space="preserve">Mapa Silver y arquitectura</t>
  </si>
  <si>
    <t xml:space="preserve">S03 Linaje</t>
  </si>
  <si>
    <t xml:space="preserve">Sesión 03 · hito</t>
  </si>
  <si>
    <t xml:space="preserve">Linaje y lista de excepciones</t>
  </si>
  <si>
    <t xml:space="preserve">S04 Antes-después</t>
  </si>
  <si>
    <t xml:space="preserve">Sesión 04 · hito</t>
  </si>
  <si>
    <t xml:space="preserve">Ficha antes/después de limpieza</t>
  </si>
  <si>
    <t xml:space="preserve">S05-S06 Modelo</t>
  </si>
  <si>
    <t xml:space="preserve">Sesiones 05–06 · hito</t>
  </si>
  <si>
    <t xml:space="preserve">Minuta del pipeline y del modelo</t>
  </si>
  <si>
    <t xml:space="preserve">S07 KPI</t>
  </si>
  <si>
    <t xml:space="preserve">Sesión 07 · hito</t>
  </si>
  <si>
    <t xml:space="preserve">KPI del subcaso validados</t>
  </si>
  <si>
    <t xml:space="preserve">S10 Supuestos</t>
  </si>
  <si>
    <t xml:space="preserve">Sesión 10 · hito</t>
  </si>
  <si>
    <t xml:space="preserve">Ficha de supuestos del escenario</t>
  </si>
  <si>
    <t xml:space="preserve">S11 Pruebas RLS</t>
  </si>
  <si>
    <t xml:space="preserve">Sesión 11 · hito</t>
  </si>
  <si>
    <t xml:space="preserve">Matriz de pruebas de seguridad por filas</t>
  </si>
  <si>
    <t xml:space="preserve">S12 Mejoras</t>
  </si>
  <si>
    <t xml:space="preserve">Sesión 12 · PreEntrega</t>
  </si>
  <si>
    <t xml:space="preserve">Lista de mejoras para la Sesión 13</t>
  </si>
  <si>
    <t xml:space="preserve">Todo el libro es del equipo. La ficha de configuración de Power BI de la Sesión 02 es individual y va en su propio archivo (GIAD-M4-S02_Ficha_Configuracion_Power_BI.xlsx).</t>
  </si>
  <si>
    <t xml:space="preserve">SESIONES 01–13 · HILO DEL MÓDULO</t>
  </si>
  <si>
    <t xml:space="preserve">Fichas de KPI del subcaso</t>
  </si>
  <si>
    <t xml:space="preserve">De 5 a 8 KPI por equipo. Cada columna indica la sesión en la que se completa; al final del módulo la ficha queda completa y es la entrada del Módulo 5 (mapa estratégico, POA, OKR, presupuesto y tablero de gestión). La fila gris es el ejemplo de Acería Andina. Las columnas azules se calculan solas. El bloque C se llena como propuesta: el Módulo 5 lo valida.</t>
  </si>
  <si>
    <t xml:space="preserve">Equipo:</t>
  </si>
  <si>
    <t xml:space="preserve">Subcaso:</t>
  </si>
  <si>
    <t xml:space="preserve">Fecha:</t>
  </si>
  <si>
    <t xml:space="preserve">A · DEFINICIÓN  (S01–S07)</t>
  </si>
  <si>
    <t xml:space="preserve">B · CONTROL  (S07–S11)</t>
  </si>
  <si>
    <t xml:space="preserve">C · ENLACE ESTRATÉGICO  (propuesta para el Módulo 5)</t>
  </si>
  <si>
    <t xml:space="preserve">KPI
(S01)</t>
  </si>
  <si>
    <t xml:space="preserve">Decisión que apoya (pregunta)
(S01)</t>
  </si>
  <si>
    <t xml:space="preserve">Nivel de decisión
(S02)</t>
  </si>
  <si>
    <t xml:space="preserve">Fórmula en palabras
(S02)</t>
  </si>
  <si>
    <t xml:space="preserve">Unidad
(S02)</t>
  </si>
  <si>
    <t xml:space="preserve">Tabla(s) fuente
(S03)</t>
  </si>
  <si>
    <t xml:space="preserve">Regla de calidad que lo protege
(S04)</t>
  </si>
  <si>
    <t xml:space="preserve">Grano (una fila es…)
(S06)</t>
  </si>
  <si>
    <t xml:space="preserve">Dimensiones de análisis
(S06)</t>
  </si>
  <si>
    <t xml:space="preserve">Medida DAX
(S07)</t>
  </si>
  <si>
    <t xml:space="preserve">Frecuencia de revisión
(S07)</t>
  </si>
  <si>
    <t xml:space="preserve">Línea base (valor)
(S07)</t>
  </si>
  <si>
    <t xml:space="preserve">Periodo / contexto de la línea base
(S07)</t>
  </si>
  <si>
    <t xml:space="preserve">Polaridad
(S08)</t>
  </si>
  <si>
    <t xml:space="preserve">Meta
(S08)</t>
  </si>
  <si>
    <t xml:space="preserve">Justificación de la meta
(S08)</t>
  </si>
  <si>
    <t xml:space="preserve">Umbral verde
(S08)</t>
  </si>
  <si>
    <t xml:space="preserve">Umbral rojo
(S08)</t>
  </si>
  <si>
    <t xml:space="preserve">Estado de la línea base
(automático)</t>
  </si>
  <si>
    <t xml:space="preserve">Responsable (rol)
(S11)</t>
  </si>
  <si>
    <t xml:space="preserve">Acción si está en rojo
(S11)</t>
  </si>
  <si>
    <t xml:space="preserve">Quién lo ve (rol / RLS)
(S11)</t>
  </si>
  <si>
    <t xml:space="preserve">Perspectiva sugerida
(S11)</t>
  </si>
  <si>
    <t xml:space="preserve">Tipo: resultado o impulsor
(S09)</t>
  </si>
  <si>
    <t xml:space="preserve">KPI relacionados (causa → efecto)
(S09)</t>
  </si>
  <si>
    <t xml:space="preserve">Impacto económico por unidad de mejora
(S10)</t>
  </si>
  <si>
    <t xml:space="preserve">% completo
(automático)</t>
  </si>
  <si>
    <t xml:space="preserve">OEE</t>
  </si>
  <si>
    <t xml:space="preserve">¿En qué activo y turno se pierde capacidad, y qué pilar conviene intervenir primero?</t>
  </si>
  <si>
    <t xml:space="preserve">Táctico</t>
  </si>
  <si>
    <t xml:space="preserve">Disponibilidad × Rendimiento × Calidad</t>
  </si>
  <si>
    <t xml:space="preserve">%</t>
  </si>
  <si>
    <t xml:space="preserve">fact_produccion_turno · dim_activo · dim_turno · dim_fecha</t>
  </si>
  <si>
    <t xml:space="preserve">Paradas mayores a 480 min por turno se revisan y corrigen; filas vacías se excluyen antes de calcular</t>
  </si>
  <si>
    <t xml:space="preserve">Activo × turno × día</t>
  </si>
  <si>
    <t xml:space="preserve">Activo, área, turno, fecha</t>
  </si>
  <si>
    <t xml:space="preserve">OEE = [Disponibilidad] * [Rendimiento] * [Calidad]</t>
  </si>
  <si>
    <t xml:space="preserve">Por turno; revisión diaria</t>
  </si>
  <si>
    <t xml:space="preserve">COMP-04 · turno B · 06/10/2026 (valor validado en S07)</t>
  </si>
  <si>
    <t xml:space="preserve">Más es mejor</t>
  </si>
  <si>
    <t xml:space="preserve">Referencia de clase mundial usada en el caso (S08). La meta del año la fija la gerencia en el POA (Módulo 5).</t>
  </si>
  <si>
    <t xml:space="preserve">Jefe de área de Laminación</t>
  </si>
  <si>
    <t xml:space="preserve">Revisar las paradas del turno con mantenimiento y abrir un análisis de causa</t>
  </si>
  <si>
    <t xml:space="preserve">Gerencia de planta: todo · jefe de área: su área · supervisor de turno: su activo y turno (RLS de la Sesión 11)</t>
  </si>
  <si>
    <t xml:space="preserve">Procesos internos</t>
  </si>
  <si>
    <t xml:space="preserve">Resultado</t>
  </si>
  <si>
    <t xml:space="preserve">Lo mueven Disponibilidad (MTBF, MTTR) y % scrap; él mueve el costo por tonelada</t>
  </si>
  <si>
    <t xml:space="preserve">1 pp de scrap ≈ $5.400 por año (S10, con producción y costo constantes)</t>
  </si>
  <si>
    <t xml:space="preserve">Polaridad: «Más es mejor» exige umbral verde mayor que el rojo (OEE, OTIF); «Menos es mejor», al revés (MTTR, % scrap, churn).</t>
  </si>
  <si>
    <t xml:space="preserve">Estado: compara la línea base con los umbrales. Amarillo = entre ambos umbrales: seguimiento, todavía no intervención.</t>
  </si>
  <si>
    <t xml:space="preserve">Diferencia con un OKR (Módulo 5): el KPI se mide siempre; un resultado clave es una meta de cambio con plazo sobre un KPI (por ejemplo, OEE de 77,7 % a 80 % este trimestre).</t>
  </si>
  <si>
    <t xml:space="preserve">REFERENCIA</t>
  </si>
  <si>
    <t xml:space="preserve">Qué va en cada campo de la ficha de KPI</t>
  </si>
  <si>
    <t xml:space="preserve">Nueve pasos de diseño, agrupados en tres bloques. Use esta hoja para completar la hoja Fichas KPI. La última columna explica para qué usa el Módulo 5 cada campo.</t>
  </si>
  <si>
    <t xml:space="preserve">Paso</t>
  </si>
  <si>
    <t xml:space="preserve">Campo de la ficha</t>
  </si>
  <si>
    <t xml:space="preserve">Pregunta que responde</t>
  </si>
  <si>
    <t xml:space="preserve">Sesión</t>
  </si>
  <si>
    <t xml:space="preserve">Ejemplo con el OEE de Acería Andina</t>
  </si>
  <si>
    <t xml:space="preserve">Para qué lo usa el Módulo 5</t>
  </si>
  <si>
    <t xml:space="preserve">A · DEFINICIÓN</t>
  </si>
  <si>
    <t xml:space="preserve">1</t>
  </si>
  <si>
    <t xml:space="preserve">KPI y decisión que apoya</t>
  </si>
  <si>
    <t xml:space="preserve">¿Qué decisión cambia según el valor de este número? Si ninguna, es una métrica, no un KPI.</t>
  </si>
  <si>
    <t xml:space="preserve">S01</t>
  </si>
  <si>
    <t xml:space="preserve">¿En qué activo y turno se pierde capacidad y qué pilar intervenir primero?</t>
  </si>
  <si>
    <t xml:space="preserve">Ubicar el KPI bajo un objetivo del mapa estratégico.</t>
  </si>
  <si>
    <t xml:space="preserve">Nivel de decisión</t>
  </si>
  <si>
    <t xml:space="preserve">¿Lo usa la gerencia (estratégico), el jefe de área (táctico) o el turno (operativo)?</t>
  </si>
  <si>
    <t xml:space="preserve">S02</t>
  </si>
  <si>
    <t xml:space="preserve">Separar KPI del mapa estratégico de los del tablero operativo.</t>
  </si>
  <si>
    <t xml:space="preserve">2</t>
  </si>
  <si>
    <t xml:space="preserve">Fórmula en palabras y unidad</t>
  </si>
  <si>
    <t xml:space="preserve">¿Cómo se calcula, sin ambigüedad, y en qué unidad se expresa?</t>
  </si>
  <si>
    <t xml:space="preserve">Disponibilidad × Rendimiento × Calidad, en %</t>
  </si>
  <si>
    <t xml:space="preserve">Una sola definición para toda la organización.</t>
  </si>
  <si>
    <t xml:space="preserve">3</t>
  </si>
  <si>
    <t xml:space="preserve">Tabla(s) fuente</t>
  </si>
  <si>
    <t xml:space="preserve">¿De qué tablas sale y cuál es la fuente oficial si hay dos?</t>
  </si>
  <si>
    <t xml:space="preserve">S03</t>
  </si>
  <si>
    <t xml:space="preserve">fact_produccion_turno, dim_activo, dim_turno, dim_fecha</t>
  </si>
  <si>
    <t xml:space="preserve">Saber qué sistema hay que mantener (roadmap tecnológico).</t>
  </si>
  <si>
    <t xml:space="preserve">Regla de calidad</t>
  </si>
  <si>
    <t xml:space="preserve">¿Qué regla impide que un dato malo mueva el KPI?</t>
  </si>
  <si>
    <t xml:space="preserve">S04</t>
  </si>
  <si>
    <t xml:space="preserve">Paradas &gt; 480 min se corrigen; filas vacías se excluyen</t>
  </si>
  <si>
    <t xml:space="preserve">Confiar en el número que se reporta en el control de gestión.</t>
  </si>
  <si>
    <t xml:space="preserve">4</t>
  </si>
  <si>
    <t xml:space="preserve">Grano y dimensiones</t>
  </si>
  <si>
    <t xml:space="preserve">¿Qué representa una fila y por qué cortes se analiza?</t>
  </si>
  <si>
    <t xml:space="preserve">S06</t>
  </si>
  <si>
    <t xml:space="preserve">Activo × turno × día; por activo, área, turno y fecha</t>
  </si>
  <si>
    <t xml:space="preserve">Desplegar metas por área, línea o zona (POA).</t>
  </si>
  <si>
    <t xml:space="preserve">Medida DAX y frecuencia</t>
  </si>
  <si>
    <t xml:space="preserve">¿Qué medida lo calcula y cada cuánto se revisa?</t>
  </si>
  <si>
    <t xml:space="preserve">S07</t>
  </si>
  <si>
    <t xml:space="preserve">[OEE]; por turno, revisión diaria</t>
  </si>
  <si>
    <t xml:space="preserve">Fijar la cadencia de revisión del tablero de gestión.</t>
  </si>
  <si>
    <t xml:space="preserve">B · CONTROL</t>
  </si>
  <si>
    <t xml:space="preserve">5</t>
  </si>
  <si>
    <t xml:space="preserve">Línea base</t>
  </si>
  <si>
    <t xml:space="preserve">¿Cuánto vale hoy, en qué periodo y contexto?</t>
  </si>
  <si>
    <t xml:space="preserve">77,7 % (COMP-04, turno B, 06/10/2026)</t>
  </si>
  <si>
    <t xml:space="preserve">Punto de partida de toda meta del POA y de todo OKR.</t>
  </si>
  <si>
    <t xml:space="preserve">6</t>
  </si>
  <si>
    <t xml:space="preserve">Polaridad, meta y justificación</t>
  </si>
  <si>
    <t xml:space="preserve">¿Más es mejor o menos es mejor? ¿Qué valor se busca y por qué ese?</t>
  </si>
  <si>
    <t xml:space="preserve">S08</t>
  </si>
  <si>
    <t xml:space="preserve">Más es mejor; 85 %, referencia de clase mundial</t>
  </si>
  <si>
    <t xml:space="preserve">Meta anual del POA; la gerencia la confirma o ajusta.</t>
  </si>
  <si>
    <t xml:space="preserve">Umbrales verde y rojo</t>
  </si>
  <si>
    <t xml:space="preserve">¿Desde qué valor está bien y desde cuál hay que intervenir?</t>
  </si>
  <si>
    <t xml:space="preserve">Verde ≥ 85 %, rojo &lt; 75 %; 77,7 % queda en amarillo</t>
  </si>
  <si>
    <t xml:space="preserve">Semáforo del tablero de gestión.</t>
  </si>
  <si>
    <t xml:space="preserve">7</t>
  </si>
  <si>
    <t xml:space="preserve">Responsable y acción</t>
  </si>
  <si>
    <t xml:space="preserve">¿Quién responde por el número y qué hace si se pone en rojo?</t>
  </si>
  <si>
    <t xml:space="preserve">S11</t>
  </si>
  <si>
    <t xml:space="preserve">Jefe de área de Laminación; revisar paradas y abrir análisis de causa</t>
  </si>
  <si>
    <t xml:space="preserve">Asignar dueños de objetivos y de resultados clave.</t>
  </si>
  <si>
    <t xml:space="preserve">Quién lo ve</t>
  </si>
  <si>
    <t xml:space="preserve">¿Qué roles pueden ver el KPI y con qué filtro?</t>
  </si>
  <si>
    <t xml:space="preserve">Gerencia: todo · jefe de área: su área · supervisor: su activo y turno (RLS)</t>
  </si>
  <si>
    <t xml:space="preserve">Distribuir el tablero de gestión por nivel.</t>
  </si>
  <si>
    <t xml:space="preserve">C · ENLACE ESTRATÉGICO (propuesta)</t>
  </si>
  <si>
    <t xml:space="preserve">8</t>
  </si>
  <si>
    <t xml:space="preserve">Tipo y KPI relacionados</t>
  </si>
  <si>
    <t xml:space="preserve">¿Es un resultado o un impulsor? ¿Qué KPI lo mueven y a cuál mueve él?</t>
  </si>
  <si>
    <t xml:space="preserve">S09</t>
  </si>
  <si>
    <t xml:space="preserve">Resultado; lo mueven Disponibilidad y scrap; mueve el costo por tonelada</t>
  </si>
  <si>
    <t xml:space="preserve">Dibujar las relaciones causa-efecto del mapa estratégico.</t>
  </si>
  <si>
    <t xml:space="preserve">Perspectiva sugerida</t>
  </si>
  <si>
    <t xml:space="preserve">¿Financiera, clientes, procesos internos o aprendizaje y crecimiento?</t>
  </si>
  <si>
    <t xml:space="preserve">Ubicar el KPI en una perspectiva del mapa estratégico.</t>
  </si>
  <si>
    <t xml:space="preserve">9</t>
  </si>
  <si>
    <t xml:space="preserve">Impacto económico</t>
  </si>
  <si>
    <t xml:space="preserve">¿Cuánto dinero vale mejorar una unidad del KPI?</t>
  </si>
  <si>
    <t xml:space="preserve">S10</t>
  </si>
  <si>
    <t xml:space="preserve">1 pp de scrap ≈ $5.400 por año</t>
  </si>
  <si>
    <t xml:space="preserve">Justificar el presupuesto de cada iniciativa.</t>
  </si>
  <si>
    <t xml:space="preserve">SESIÓN 01 · PREPARACIÓN</t>
  </si>
  <si>
    <t xml:space="preserve">Una fila por tabla que recibe el equipo. Cargue cada tabla en Power BI y anote lo que ve antes de usarla.</t>
  </si>
  <si>
    <t xml:space="preserve">Tabla / archivo</t>
  </si>
  <si>
    <t xml:space="preserve">Qué representa una fila</t>
  </si>
  <si>
    <t xml:space="preserve">Columnas clave</t>
  </si>
  <si>
    <t xml:space="preserve">Filas</t>
  </si>
  <si>
    <t xml:space="preserve">Columnas</t>
  </si>
  <si>
    <t xml:space="preserve">Brecha observada</t>
  </si>
  <si>
    <t xml:space="preserve">Responsable de revisarla</t>
  </si>
  <si>
    <t xml:space="preserve">produccion_2026_09.csv</t>
  </si>
  <si>
    <t xml:space="preserve">Un turno de un activo en un día</t>
  </si>
  <si>
    <t xml:space="preserve">fecha, turno, id_activo</t>
  </si>
  <si>
    <t xml:space="preserve">El punto decimal se lee mal con región en español</t>
  </si>
  <si>
    <t xml:space="preserve">Ana (Datos)</t>
  </si>
  <si>
    <t xml:space="preserve">SESIÓN 02 · HITO</t>
  </si>
  <si>
    <t xml:space="preserve">Una fila por tabla. Parta de la brecha DCAM priorizada: el control debe responder a ella.</t>
  </si>
  <si>
    <t xml:space="preserve">Archivo / tabla</t>
  </si>
  <si>
    <t xml:space="preserve">Granularidad</t>
  </si>
  <si>
    <t xml:space="preserve">Identificador único</t>
  </si>
  <si>
    <t xml:space="preserve">Frecuencia</t>
  </si>
  <si>
    <t xml:space="preserve">Propietario</t>
  </si>
  <si>
    <t xml:space="preserve">Riesgo</t>
  </si>
  <si>
    <t xml:space="preserve">Control propuesto</t>
  </si>
  <si>
    <t xml:space="preserve">fact_ordenes_silver.csv</t>
  </si>
  <si>
    <t xml:space="preserve">Una fila por orden</t>
  </si>
  <si>
    <t xml:space="preserve">id_orden (id_activo relaciona)</t>
  </si>
  <si>
    <t xml:space="preserve">Diaria</t>
  </si>
  <si>
    <t xml:space="preserve">Mantenimiento</t>
  </si>
  <si>
    <t xml:space="preserve">Órdenes sin correspondencia de activo</t>
  </si>
  <si>
    <t xml:space="preserve">Dimensión gobernada; huérfanas &lt; 1 %</t>
  </si>
  <si>
    <t xml:space="preserve">SESIÓN 03 · HITO</t>
  </si>
  <si>
    <t xml:space="preserve">Una fila por fuente conectada. Perfil de columnas sobre todo el conjunto de datos.</t>
  </si>
  <si>
    <t xml:space="preserve">Fuente</t>
  </si>
  <si>
    <t xml:space="preserve">Conector</t>
  </si>
  <si>
    <t xml:space="preserve">Parámetro de ruta</t>
  </si>
  <si>
    <t xml:space="preserve">Nivel de privacidad</t>
  </si>
  <si>
    <t xml:space="preserve">Excepción encontrada</t>
  </si>
  <si>
    <t xml:space="preserve">Regla propuesta para S04</t>
  </si>
  <si>
    <t xml:space="preserve">Texto/CSV</t>
  </si>
  <si>
    <t xml:space="preserve">RutaCrudo</t>
  </si>
  <si>
    <t xml:space="preserve">Organizacional</t>
  </si>
  <si>
    <t xml:space="preserve">12 órdenes sin id_activo</t>
  </si>
  <si>
    <t xml:space="preserve">Consulta de excepciones, no se borran</t>
  </si>
  <si>
    <t xml:space="preserve">SESIÓN 04 · HITO</t>
  </si>
  <si>
    <t xml:space="preserve">Una fila por regla aplicada. Marcar es mejor que borrar cuando no hay certeza.</t>
  </si>
  <si>
    <t xml:space="preserve">Regla</t>
  </si>
  <si>
    <t xml:space="preserve">Paso de Power Query (nombre)</t>
  </si>
  <si>
    <t xml:space="preserve">Filas antes</t>
  </si>
  <si>
    <t xml:space="preserve">Filas afectadas</t>
  </si>
  <si>
    <t xml:space="preserve">Filas después</t>
  </si>
  <si>
    <t xml:space="preserve">Decisión</t>
  </si>
  <si>
    <t xml:space="preserve">Limitación que queda</t>
  </si>
  <si>
    <t xml:space="preserve">Quitar duplicados exactos</t>
  </si>
  <si>
    <t xml:space="preserve">QuitarDuplicados</t>
  </si>
  <si>
    <t xml:space="preserve">Excluir</t>
  </si>
  <si>
    <t xml:space="preserve">Clave de negocio: fecha + turno + activo</t>
  </si>
  <si>
    <t xml:space="preserve">SESIONES 05–06 · HITO</t>
  </si>
  <si>
    <t xml:space="preserve">Una fila por tabla del modelo. La prueba demuestra que el filtro llega o que el total se conserva.</t>
  </si>
  <si>
    <t xml:space="preserve">Tabla</t>
  </si>
  <si>
    <t xml:space="preserve">Tipo</t>
  </si>
  <si>
    <t xml:space="preserve">Grano (qué es una fila)</t>
  </si>
  <si>
    <t xml:space="preserve">Clave</t>
  </si>
  <si>
    <t xml:space="preserve">Se relaciona con</t>
  </si>
  <si>
    <t xml:space="preserve">Cardinalidad</t>
  </si>
  <si>
    <t xml:space="preserve">Dirección</t>
  </si>
  <si>
    <t xml:space="preserve">Prueba y resultado</t>
  </si>
  <si>
    <t xml:space="preserve">fact_produccion_turno</t>
  </si>
  <si>
    <t xml:space="preserve">Hecho</t>
  </si>
  <si>
    <t xml:space="preserve">fecha+turno+id_activo</t>
  </si>
  <si>
    <t xml:space="preserve">dim_activo</t>
  </si>
  <si>
    <t xml:space="preserve">Varios a uno</t>
  </si>
  <si>
    <t xml:space="preserve">Única</t>
  </si>
  <si>
    <t xml:space="preserve">Toneladas por área suman 483.857,58 t</t>
  </si>
  <si>
    <t xml:space="preserve">SESIÓN 07 · HITO</t>
  </si>
  <si>
    <t xml:space="preserve">Tres KPI como mínimo. El cálculo manual se hace sobre una fila o periodo conocido. La columna Coincide se calcula sola. Cada KPI validado aquí debe tener su fila en la hoja Fichas KPI.</t>
  </si>
  <si>
    <t xml:space="preserve">KPI</t>
  </si>
  <si>
    <t xml:space="preserve">Medida DAX (nombre)</t>
  </si>
  <si>
    <t xml:space="preserve">Contexto de prueba</t>
  </si>
  <si>
    <t xml:space="preserve">Cálculo manual</t>
  </si>
  <si>
    <t xml:space="preserve">Valor en Power BI</t>
  </si>
  <si>
    <t xml:space="preserve">¿Coincide?</t>
  </si>
  <si>
    <t xml:space="preserve">Si no coincide: dónde se separa</t>
  </si>
  <si>
    <t xml:space="preserve">COMP-04 · turno B · 06/10/2026</t>
  </si>
  <si>
    <t xml:space="preserve">SESIÓN 10 · HITO</t>
  </si>
  <si>
    <t xml:space="preserve">Una fila por parámetro What-if. El rango debe ser físicamente posible y tener fuente.</t>
  </si>
  <si>
    <t xml:space="preserve">Variable</t>
  </si>
  <si>
    <t xml:space="preserve">Fuente del valor</t>
  </si>
  <si>
    <t xml:space="preserve">Unidad</t>
  </si>
  <si>
    <t xml:space="preserve">Mínimo</t>
  </si>
  <si>
    <t xml:space="preserve">Centro</t>
  </si>
  <si>
    <t xml:space="preserve">Máximo</t>
  </si>
  <si>
    <t xml:space="preserve">Qué se mantiene constante</t>
  </si>
  <si>
    <t xml:space="preserve">Resultado mín / centro / máx</t>
  </si>
  <si>
    <t xml:space="preserve">Calidad</t>
  </si>
  <si>
    <t xml:space="preserve">Observada 2026 (dataset)</t>
  </si>
  <si>
    <t xml:space="preserve">Disponibilidad y rendimiento</t>
  </si>
  <si>
    <t xml:space="preserve">77,7 % / 78,5 % / 79,3 %</t>
  </si>
  <si>
    <t xml:space="preserve">SESIÓN 11 · HITO</t>
  </si>
  <si>
    <t xml:space="preserve">Una fila por prueba con Ver como rol. Incluya siempre una prueba negativa y un usuario sin mapeo. El resultado se calcula solo.</t>
  </si>
  <si>
    <t xml:space="preserve">Usuario (correo)</t>
  </si>
  <si>
    <t xml:space="preserve">Rol</t>
  </si>
  <si>
    <t xml:space="preserve">Qué debería ver</t>
  </si>
  <si>
    <t xml:space="preserve">Filas esperadas</t>
  </si>
  <si>
    <t xml:space="preserve">Filas vistas</t>
  </si>
  <si>
    <t xml:space="preserve">Observación</t>
  </si>
  <si>
    <t xml:space="preserve">sloayza@aceria-andina.example</t>
  </si>
  <si>
    <t xml:space="preserve">Supervisor de turno</t>
  </si>
  <si>
    <t xml:space="preserve">Solo COMP-04, turno B</t>
  </si>
  <si>
    <t xml:space="preserve">SESIÓN 12 · PREENTREGA</t>
  </si>
  <si>
    <t xml:space="preserve">Entre 3 y 5 mejoras priorizadas por impacto en la decisión. En la Sesión 13 se presenta el estado de cada una (criterio 7 de la rúbrica).</t>
  </si>
  <si>
    <t xml:space="preserve">N.º</t>
  </si>
  <si>
    <t xml:space="preserve">Hallazgo (qué, dónde y por qué afecta la decisión)</t>
  </si>
  <si>
    <t xml:space="preserve">Criterio de la rúbrica</t>
  </si>
  <si>
    <t xml:space="preserve">Mejora concreta</t>
  </si>
  <si>
    <t xml:space="preserve">Responsable</t>
  </si>
  <si>
    <t xml:space="preserve">Evidencia que se mostrará</t>
  </si>
  <si>
    <t xml:space="preserve">Estado en S13</t>
  </si>
  <si>
    <t xml:space="preserve">La tarjeta de OEE no distingue observado y simulado</t>
  </si>
  <si>
    <t xml:space="preserve">4. Visualización</t>
  </si>
  <si>
    <t xml:space="preserve">Rotular «OEE observado» y «OEE escenario»</t>
  </si>
  <si>
    <t xml:space="preserve">Luis</t>
  </si>
  <si>
    <t xml:space="preserve">Captura antes/después</t>
  </si>
  <si>
    <t xml:space="preserve">Aplicada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</si>
</sst>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9"/>
      <color rgb="FFE07A1F"/>
      <name val="Cambria"/>
      <family val="0"/>
      <charset val="1"/>
    </font>
    <font>
      <b val="true"/>
      <sz val="14"/>
      <color rgb="FF1F3A5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3A5F"/>
      <name val="Cambria"/>
      <family val="0"/>
      <charset val="1"/>
    </font>
    <font>
      <b val="true"/>
      <sz val="11"/>
      <color rgb="FFC55A11"/>
      <name val="Cambria"/>
      <family val="0"/>
      <charset val="1"/>
    </font>
    <font>
      <sz val="11"/>
      <color rgb="FF7F7F7F"/>
      <name val="Cambria"/>
      <family val="0"/>
      <charset val="1"/>
    </font>
    <font>
      <sz val="10"/>
      <name val="Arial"/>
      <family val="2"/>
    </font>
    <font>
      <i val="true"/>
      <sz val="11"/>
      <color rgb="FF7F7F7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D9E1EA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AF1F8"/>
      </patternFill>
    </fill>
    <fill>
      <patternFill patternType="solid">
        <fgColor rgb="FFEAF1F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375623"/>
      </font>
      <fill>
        <patternFill>
          <bgColor rgb="FFE2EFDA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8CBAD"/>
        </patternFill>
      </fill>
    </dxf>
    <dxf>
      <font>
        <b val="1"/>
        <color rgb="FF595959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EAF1F8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D9E1EA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07A1F"/>
      <rgbColor rgb="FF595959"/>
      <rgbColor rgb="FF969696"/>
      <rgbColor rgb="FF1F3A5F"/>
      <rgbColor rgb="FF339966"/>
      <rgbColor rgb="FF003300"/>
      <rgbColor rgb="FF333300"/>
      <rgbColor rgb="FFC55A11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3" min="3" style="1" width="48"/>
  </cols>
  <sheetData>
    <row r="1" customFormat="false" ht="19.5" hidden="false" customHeight="true" outlineLevel="0" collapsed="false">
      <c r="A1" s="2" t="s">
        <v>0</v>
      </c>
    </row>
    <row r="2" customFormat="false" ht="31.5" hidden="false" customHeight="true" outlineLevel="0" collapsed="false">
      <c r="A2" s="3" t="s">
        <v>1</v>
      </c>
      <c r="B2" s="3"/>
      <c r="C2" s="3"/>
    </row>
    <row r="3" customFormat="false" ht="31.5" hidden="false" customHeight="true" outlineLevel="0" collapsed="false">
      <c r="A3" s="3" t="s">
        <v>2</v>
      </c>
      <c r="B3" s="3"/>
      <c r="C3" s="3"/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true" outlineLevel="0" collapsed="false">
      <c r="A6" s="5" t="s">
        <v>6</v>
      </c>
      <c r="B6" s="1" t="s">
        <v>7</v>
      </c>
      <c r="C6" s="1" t="s">
        <v>8</v>
      </c>
    </row>
    <row r="7" customFormat="false" ht="15" hidden="false" customHeight="true" outlineLevel="0" collapsed="false">
      <c r="A7" s="5" t="s">
        <v>9</v>
      </c>
      <c r="B7" s="1" t="s">
        <v>10</v>
      </c>
      <c r="C7" s="1" t="s">
        <v>11</v>
      </c>
    </row>
    <row r="8" customFormat="false" ht="15" hidden="false" customHeight="true" outlineLevel="0" collapsed="false">
      <c r="A8" s="5" t="s">
        <v>12</v>
      </c>
      <c r="B8" s="1" t="s">
        <v>13</v>
      </c>
      <c r="C8" s="1" t="s">
        <v>14</v>
      </c>
    </row>
    <row r="9" customFormat="false" ht="15" hidden="false" customHeight="true" outlineLevel="0" collapsed="false">
      <c r="A9" s="5" t="s">
        <v>15</v>
      </c>
      <c r="B9" s="1" t="s">
        <v>16</v>
      </c>
      <c r="C9" s="1" t="s">
        <v>17</v>
      </c>
    </row>
    <row r="10" customFormat="false" ht="15" hidden="false" customHeight="true" outlineLevel="0" collapsed="false">
      <c r="A10" s="5" t="s">
        <v>18</v>
      </c>
      <c r="B10" s="1" t="s">
        <v>19</v>
      </c>
      <c r="C10" s="1" t="s">
        <v>20</v>
      </c>
    </row>
    <row r="11" customFormat="false" ht="15" hidden="false" customHeight="true" outlineLevel="0" collapsed="false">
      <c r="A11" s="5" t="s">
        <v>21</v>
      </c>
      <c r="B11" s="1" t="s">
        <v>22</v>
      </c>
      <c r="C11" s="1" t="s">
        <v>23</v>
      </c>
    </row>
    <row r="12" customFormat="false" ht="15" hidden="false" customHeight="true" outlineLevel="0" collapsed="false">
      <c r="A12" s="5" t="s">
        <v>24</v>
      </c>
      <c r="B12" s="1" t="s">
        <v>25</v>
      </c>
      <c r="C12" s="1" t="s">
        <v>26</v>
      </c>
    </row>
    <row r="13" customFormat="false" ht="15" hidden="false" customHeight="true" outlineLevel="0" collapsed="false">
      <c r="A13" s="5" t="s">
        <v>27</v>
      </c>
      <c r="B13" s="1" t="s">
        <v>28</v>
      </c>
      <c r="C13" s="1" t="s">
        <v>29</v>
      </c>
    </row>
    <row r="14" customFormat="false" ht="15" hidden="false" customHeight="true" outlineLevel="0" collapsed="false">
      <c r="A14" s="5" t="s">
        <v>30</v>
      </c>
      <c r="B14" s="1" t="s">
        <v>31</v>
      </c>
      <c r="C14" s="1" t="s">
        <v>32</v>
      </c>
    </row>
    <row r="15" customFormat="false" ht="15" hidden="false" customHeight="true" outlineLevel="0" collapsed="false">
      <c r="A15" s="5" t="s">
        <v>33</v>
      </c>
      <c r="B15" s="1" t="s">
        <v>34</v>
      </c>
      <c r="C15" s="1" t="s">
        <v>35</v>
      </c>
    </row>
    <row r="16" customFormat="false" ht="15" hidden="false" customHeight="true" outlineLevel="0" collapsed="false">
      <c r="A16" s="5" t="s">
        <v>36</v>
      </c>
      <c r="B16" s="1" t="s">
        <v>37</v>
      </c>
      <c r="C16" s="1" t="s">
        <v>38</v>
      </c>
    </row>
    <row r="18" customFormat="false" ht="15" hidden="false" customHeight="true" outlineLevel="0" collapsed="false">
      <c r="A18" s="6" t="s">
        <v>39</v>
      </c>
    </row>
  </sheetData>
  <mergeCells count="2">
    <mergeCell ref="A2:C2"/>
    <mergeCell ref="A3:C3"/>
  </mergeCells>
  <hyperlinks>
    <hyperlink ref="A6" location="'Fichas KPI'!A1" display="Fichas KPI"/>
    <hyperlink ref="A7" location="'Campos ficha KPI'!A1" display="Campos ficha KPI"/>
    <hyperlink ref="A8" location="'S01 Inventario'!A1" display="S01 Inventario"/>
    <hyperlink ref="A9" location="'S02 Mapa Silver'!A1" display="S02 Mapa Silver"/>
    <hyperlink ref="A10" location="'S03 Linaje'!A1" display="S03 Linaje"/>
    <hyperlink ref="A11" location="'S04 Antes-después'!A1" display="S04 Antes-después"/>
    <hyperlink ref="A12" location="'S05-S06 Modelo'!A1" display="S05-S06 Modelo"/>
    <hyperlink ref="A13" location="'S07 KPI'!A1" display="S07 KPI"/>
    <hyperlink ref="A14" location="'S10 Supuestos'!A1" display="S10 Supuestos"/>
    <hyperlink ref="A15" location="'S11 Pruebas RLS'!A1" display="S11 Pruebas RLS"/>
    <hyperlink ref="A16" location="'S12 Mejoras'!A1" display="S12 Mejor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5" min="5" style="1" width="10"/>
    <col collapsed="false" customWidth="true" hidden="false" outlineLevel="0" max="6" min="6" style="1" width="26"/>
    <col collapsed="false" customWidth="true" hidden="false" outlineLevel="0" max="7" min="7" style="1" width="32"/>
    <col collapsed="false" customWidth="true" hidden="false" outlineLevel="0" max="8" min="8" style="1" width="20"/>
    <col collapsed="false" customWidth="true" hidden="false" outlineLevel="0" max="9" min="9" style="1" width="22"/>
    <col collapsed="false" customWidth="true" hidden="false" outlineLevel="0" max="10" min="10" style="1" width="30"/>
    <col collapsed="false" customWidth="true" hidden="false" outlineLevel="0" max="11" min="11" style="1" width="16"/>
    <col collapsed="false" customWidth="true" hidden="false" outlineLevel="0" max="12" min="12" style="1" width="12"/>
    <col collapsed="false" customWidth="true" hidden="false" outlineLevel="0" max="13" min="13" style="1" width="24"/>
    <col collapsed="false" customWidth="true" hidden="false" outlineLevel="0" max="14" min="14" style="1" width="14"/>
    <col collapsed="false" customWidth="true" hidden="false" outlineLevel="0" max="15" min="15" style="1" width="10"/>
    <col collapsed="false" customWidth="true" hidden="false" outlineLevel="0" max="16" min="16" style="1" width="34"/>
    <col collapsed="false" customWidth="true" hidden="false" outlineLevel="0" max="18" min="17" style="1" width="11"/>
    <col collapsed="false" customWidth="true" hidden="false" outlineLevel="0" max="19" min="19" style="1" width="14"/>
    <col collapsed="false" customWidth="true" hidden="false" outlineLevel="0" max="20" min="20" style="1" width="20"/>
    <col collapsed="false" customWidth="true" hidden="false" outlineLevel="0" max="21" min="21" style="1" width="30"/>
    <col collapsed="false" customWidth="true" hidden="false" outlineLevel="0" max="22" min="22" style="1" width="26"/>
    <col collapsed="false" customWidth="true" hidden="false" outlineLevel="0" max="23" min="23" style="1" width="18"/>
    <col collapsed="false" customWidth="true" hidden="false" outlineLevel="0" max="24" min="24" style="1" width="14"/>
    <col collapsed="false" customWidth="true" hidden="false" outlineLevel="0" max="25" min="25" style="1" width="32"/>
    <col collapsed="false" customWidth="true" hidden="false" outlineLevel="0" max="26" min="26" style="1" width="30"/>
    <col collapsed="false" customWidth="true" hidden="false" outlineLevel="0" max="27" min="27" style="1" width="10"/>
  </cols>
  <sheetData>
    <row r="1" customFormat="false" ht="15" hidden="false" customHeight="true" outlineLevel="0" collapsed="false">
      <c r="A1" s="7" t="s">
        <v>40</v>
      </c>
    </row>
    <row r="2" customFormat="false" ht="17.25" hidden="false" customHeight="true" outlineLevel="0" collapsed="false">
      <c r="A2" s="8" t="s">
        <v>41</v>
      </c>
    </row>
    <row r="3" customFormat="false" ht="45" hidden="false" customHeight="true" outlineLevel="0" collapsed="false">
      <c r="A3" s="3" t="s">
        <v>42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15" hidden="false" customHeight="true" outlineLevel="0" collapsed="false">
      <c r="A4" s="9" t="s">
        <v>43</v>
      </c>
      <c r="C4" s="9" t="s">
        <v>44</v>
      </c>
      <c r="E4" s="9" t="s">
        <v>45</v>
      </c>
    </row>
    <row r="5" customFormat="false" ht="19.5" hidden="false" customHeight="true" outlineLevel="0" collapsed="false">
      <c r="A5" s="10" t="s">
        <v>46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 t="s">
        <v>47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1" t="s">
        <v>48</v>
      </c>
      <c r="X5" s="11"/>
      <c r="Y5" s="11"/>
      <c r="Z5" s="11"/>
      <c r="AA5" s="11"/>
    </row>
    <row r="6" customFormat="false" ht="45.75" hidden="false" customHeight="true" outlineLevel="0" collapsed="false">
      <c r="A6" s="12" t="s">
        <v>49</v>
      </c>
      <c r="B6" s="12" t="s">
        <v>50</v>
      </c>
      <c r="C6" s="12" t="s">
        <v>51</v>
      </c>
      <c r="D6" s="12" t="s">
        <v>52</v>
      </c>
      <c r="E6" s="12" t="s">
        <v>53</v>
      </c>
      <c r="F6" s="12" t="s">
        <v>54</v>
      </c>
      <c r="G6" s="12" t="s">
        <v>55</v>
      </c>
      <c r="H6" s="12" t="s">
        <v>56</v>
      </c>
      <c r="I6" s="12" t="s">
        <v>57</v>
      </c>
      <c r="J6" s="12" t="s">
        <v>58</v>
      </c>
      <c r="K6" s="12" t="s">
        <v>59</v>
      </c>
      <c r="L6" s="12" t="s">
        <v>60</v>
      </c>
      <c r="M6" s="12" t="s">
        <v>61</v>
      </c>
      <c r="N6" s="12" t="s">
        <v>62</v>
      </c>
      <c r="O6" s="12" t="s">
        <v>63</v>
      </c>
      <c r="P6" s="12" t="s">
        <v>64</v>
      </c>
      <c r="Q6" s="12" t="s">
        <v>65</v>
      </c>
      <c r="R6" s="12" t="s">
        <v>66</v>
      </c>
      <c r="S6" s="12" t="s">
        <v>67</v>
      </c>
      <c r="T6" s="12" t="s">
        <v>68</v>
      </c>
      <c r="U6" s="12" t="s">
        <v>69</v>
      </c>
      <c r="V6" s="12" t="s">
        <v>70</v>
      </c>
      <c r="W6" s="12" t="s">
        <v>71</v>
      </c>
      <c r="X6" s="12" t="s">
        <v>72</v>
      </c>
      <c r="Y6" s="12" t="s">
        <v>73</v>
      </c>
      <c r="Z6" s="12" t="s">
        <v>74</v>
      </c>
      <c r="AA6" s="12" t="s">
        <v>75</v>
      </c>
    </row>
    <row r="7" customFormat="false" ht="60" hidden="false" customHeight="true" outlineLevel="0" collapsed="false">
      <c r="A7" s="13" t="s">
        <v>76</v>
      </c>
      <c r="B7" s="13" t="s">
        <v>77</v>
      </c>
      <c r="C7" s="13" t="s">
        <v>78</v>
      </c>
      <c r="D7" s="13" t="s">
        <v>79</v>
      </c>
      <c r="E7" s="13" t="s">
        <v>80</v>
      </c>
      <c r="F7" s="13" t="s">
        <v>81</v>
      </c>
      <c r="G7" s="13" t="s">
        <v>82</v>
      </c>
      <c r="H7" s="13" t="s">
        <v>83</v>
      </c>
      <c r="I7" s="13" t="s">
        <v>84</v>
      </c>
      <c r="J7" s="13" t="s">
        <v>85</v>
      </c>
      <c r="K7" s="13" t="s">
        <v>86</v>
      </c>
      <c r="L7" s="14" t="n">
        <v>0.777</v>
      </c>
      <c r="M7" s="13" t="s">
        <v>87</v>
      </c>
      <c r="N7" s="13" t="s">
        <v>88</v>
      </c>
      <c r="O7" s="14" t="n">
        <v>0.85</v>
      </c>
      <c r="P7" s="13" t="s">
        <v>89</v>
      </c>
      <c r="Q7" s="14" t="n">
        <v>0.85</v>
      </c>
      <c r="R7" s="14" t="n">
        <v>0.75</v>
      </c>
      <c r="S7" s="13" t="str">
        <f aca="false">IF(OR(L7="",N7="",Q7="",R7=""),"",IF(N7="Más es mejor",IF(Q7&lt;=R7,"Revise umbrales",IF(L7&gt;=Q7,"Verde",IF(L7&lt;R7,"Rojo","Amarillo"))),IF(Q7&gt;=R7,"Revise umbrales",IF(L7&lt;=Q7,"Verde",IF(L7&gt;R7,"Rojo","Amarillo")))))</f>
        <v>Amarillo</v>
      </c>
      <c r="T7" s="13" t="s">
        <v>90</v>
      </c>
      <c r="U7" s="13" t="s">
        <v>91</v>
      </c>
      <c r="V7" s="13" t="s">
        <v>92</v>
      </c>
      <c r="W7" s="13" t="s">
        <v>93</v>
      </c>
      <c r="X7" s="13" t="s">
        <v>94</v>
      </c>
      <c r="Y7" s="13" t="s">
        <v>95</v>
      </c>
      <c r="Z7" s="13" t="s">
        <v>96</v>
      </c>
      <c r="AA7" s="15" t="n">
        <f aca="false">IF(A7="","",COUNTA(A7:R7,T7:Z7)/25)</f>
        <v>1</v>
      </c>
    </row>
    <row r="8" customFormat="false" ht="36" hidden="false" customHeight="true" outlineLevel="0" collapsed="false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7"/>
      <c r="M8" s="16"/>
      <c r="N8" s="16"/>
      <c r="O8" s="17"/>
      <c r="P8" s="16"/>
      <c r="Q8" s="17"/>
      <c r="R8" s="17"/>
      <c r="S8" s="18" t="str">
        <f aca="false">IF(OR(L8="",N8="",Q8="",R8=""),"",IF(N8="Más es mejor",IF(Q8&lt;=R8,"Revise umbrales",IF(L8&gt;=Q8,"Verde",IF(L8&lt;R8,"Rojo","Amarillo"))),IF(Q8&gt;=R8,"Revise umbrales",IF(L8&lt;=Q8,"Verde",IF(L8&gt;R8,"Rojo","Amarillo")))))</f>
        <v/>
      </c>
      <c r="T8" s="16"/>
      <c r="U8" s="16"/>
      <c r="V8" s="16"/>
      <c r="W8" s="16"/>
      <c r="X8" s="16"/>
      <c r="Y8" s="16"/>
      <c r="Z8" s="16"/>
      <c r="AA8" s="19" t="str">
        <f aca="false">IF(A8="","",COUNTA(A8:R8,T8:Z8)/25)</f>
        <v/>
      </c>
    </row>
    <row r="9" customFormat="false" ht="36" hidden="false" customHeight="true" outlineLevel="0" collapsed="false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7"/>
      <c r="M9" s="16"/>
      <c r="N9" s="16"/>
      <c r="O9" s="17"/>
      <c r="P9" s="16"/>
      <c r="Q9" s="17"/>
      <c r="R9" s="17"/>
      <c r="S9" s="18" t="str">
        <f aca="false">IF(OR(L9="",N9="",Q9="",R9=""),"",IF(N9="Más es mejor",IF(Q9&lt;=R9,"Revise umbrales",IF(L9&gt;=Q9,"Verde",IF(L9&lt;R9,"Rojo","Amarillo"))),IF(Q9&gt;=R9,"Revise umbrales",IF(L9&lt;=Q9,"Verde",IF(L9&gt;R9,"Rojo","Amarillo")))))</f>
        <v/>
      </c>
      <c r="T9" s="16"/>
      <c r="U9" s="16"/>
      <c r="V9" s="16"/>
      <c r="W9" s="16"/>
      <c r="X9" s="16"/>
      <c r="Y9" s="16"/>
      <c r="Z9" s="16"/>
      <c r="AA9" s="19" t="str">
        <f aca="false">IF(A9="","",COUNTA(A9:R9,T9:Z9)/25)</f>
        <v/>
      </c>
    </row>
    <row r="10" customFormat="false" ht="36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6"/>
      <c r="N10" s="16"/>
      <c r="O10" s="17"/>
      <c r="P10" s="16"/>
      <c r="Q10" s="17"/>
      <c r="R10" s="17"/>
      <c r="S10" s="18" t="str">
        <f aca="false">IF(OR(L10="",N10="",Q10="",R10=""),"",IF(N10="Más es mejor",IF(Q10&lt;=R10,"Revise umbrales",IF(L10&gt;=Q10,"Verde",IF(L10&lt;R10,"Rojo","Amarillo"))),IF(Q10&gt;=R10,"Revise umbrales",IF(L10&lt;=Q10,"Verde",IF(L10&gt;R10,"Rojo","Amarillo")))))</f>
        <v/>
      </c>
      <c r="T10" s="16"/>
      <c r="U10" s="16"/>
      <c r="V10" s="16"/>
      <c r="W10" s="16"/>
      <c r="X10" s="16"/>
      <c r="Y10" s="16"/>
      <c r="Z10" s="16"/>
      <c r="AA10" s="19" t="str">
        <f aca="false">IF(A10="","",COUNTA(A10:R10,T10:Z10)/25)</f>
        <v/>
      </c>
    </row>
    <row r="11" customFormat="false" ht="36" hidden="false" customHeight="tru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7"/>
      <c r="M11" s="16"/>
      <c r="N11" s="16"/>
      <c r="O11" s="17"/>
      <c r="P11" s="16"/>
      <c r="Q11" s="17"/>
      <c r="R11" s="17"/>
      <c r="S11" s="18" t="str">
        <f aca="false">IF(OR(L11="",N11="",Q11="",R11=""),"",IF(N11="Más es mejor",IF(Q11&lt;=R11,"Revise umbrales",IF(L11&gt;=Q11,"Verde",IF(L11&lt;R11,"Rojo","Amarillo"))),IF(Q11&gt;=R11,"Revise umbrales",IF(L11&lt;=Q11,"Verde",IF(L11&gt;R11,"Rojo","Amarillo")))))</f>
        <v/>
      </c>
      <c r="T11" s="16"/>
      <c r="U11" s="16"/>
      <c r="V11" s="16"/>
      <c r="W11" s="16"/>
      <c r="X11" s="16"/>
      <c r="Y11" s="16"/>
      <c r="Z11" s="16"/>
      <c r="AA11" s="19" t="str">
        <f aca="false">IF(A11="","",COUNTA(A11:R11,T11:Z11)/25)</f>
        <v/>
      </c>
    </row>
    <row r="12" customFormat="false" ht="36" hidden="false" customHeight="true" outlineLevel="0" collapsed="false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6"/>
      <c r="N12" s="16"/>
      <c r="O12" s="17"/>
      <c r="P12" s="16"/>
      <c r="Q12" s="17"/>
      <c r="R12" s="17"/>
      <c r="S12" s="18" t="str">
        <f aca="false">IF(OR(L12="",N12="",Q12="",R12=""),"",IF(N12="Más es mejor",IF(Q12&lt;=R12,"Revise umbrales",IF(L12&gt;=Q12,"Verde",IF(L12&lt;R12,"Rojo","Amarillo"))),IF(Q12&gt;=R12,"Revise umbrales",IF(L12&lt;=Q12,"Verde",IF(L12&gt;R12,"Rojo","Amarillo")))))</f>
        <v/>
      </c>
      <c r="T12" s="16"/>
      <c r="U12" s="16"/>
      <c r="V12" s="16"/>
      <c r="W12" s="16"/>
      <c r="X12" s="16"/>
      <c r="Y12" s="16"/>
      <c r="Z12" s="16"/>
      <c r="AA12" s="19" t="str">
        <f aca="false">IF(A12="","",COUNTA(A12:R12,T12:Z12)/25)</f>
        <v/>
      </c>
    </row>
    <row r="13" customFormat="false" ht="36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7"/>
      <c r="M13" s="16"/>
      <c r="N13" s="16"/>
      <c r="O13" s="17"/>
      <c r="P13" s="16"/>
      <c r="Q13" s="17"/>
      <c r="R13" s="17"/>
      <c r="S13" s="18" t="str">
        <f aca="false">IF(OR(L13="",N13="",Q13="",R13=""),"",IF(N13="Más es mejor",IF(Q13&lt;=R13,"Revise umbrales",IF(L13&gt;=Q13,"Verde",IF(L13&lt;R13,"Rojo","Amarillo"))),IF(Q13&gt;=R13,"Revise umbrales",IF(L13&lt;=Q13,"Verde",IF(L13&gt;R13,"Rojo","Amarillo")))))</f>
        <v/>
      </c>
      <c r="T13" s="16"/>
      <c r="U13" s="16"/>
      <c r="V13" s="16"/>
      <c r="W13" s="16"/>
      <c r="X13" s="16"/>
      <c r="Y13" s="16"/>
      <c r="Z13" s="16"/>
      <c r="AA13" s="19" t="str">
        <f aca="false">IF(A13="","",COUNTA(A13:R13,T13:Z13)/25)</f>
        <v/>
      </c>
    </row>
    <row r="14" customFormat="false" ht="36" hidden="false" customHeight="true" outlineLevel="0" collapsed="false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6"/>
      <c r="N14" s="16"/>
      <c r="O14" s="17"/>
      <c r="P14" s="16"/>
      <c r="Q14" s="17"/>
      <c r="R14" s="17"/>
      <c r="S14" s="18" t="str">
        <f aca="false">IF(OR(L14="",N14="",Q14="",R14=""),"",IF(N14="Más es mejor",IF(Q14&lt;=R14,"Revise umbrales",IF(L14&gt;=Q14,"Verde",IF(L14&lt;R14,"Rojo","Amarillo"))),IF(Q14&gt;=R14,"Revise umbrales",IF(L14&lt;=Q14,"Verde",IF(L14&gt;R14,"Rojo","Amarillo")))))</f>
        <v/>
      </c>
      <c r="T14" s="16"/>
      <c r="U14" s="16"/>
      <c r="V14" s="16"/>
      <c r="W14" s="16"/>
      <c r="X14" s="16"/>
      <c r="Y14" s="16"/>
      <c r="Z14" s="16"/>
      <c r="AA14" s="19" t="str">
        <f aca="false">IF(A14="","",COUNTA(A14:R14,T14:Z14)/25)</f>
        <v/>
      </c>
    </row>
    <row r="15" customFormat="false" ht="36" hidden="false" customHeight="tru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7"/>
      <c r="M15" s="16"/>
      <c r="N15" s="16"/>
      <c r="O15" s="17"/>
      <c r="P15" s="16"/>
      <c r="Q15" s="17"/>
      <c r="R15" s="17"/>
      <c r="S15" s="18" t="str">
        <f aca="false">IF(OR(L15="",N15="",Q15="",R15=""),"",IF(N15="Más es mejor",IF(Q15&lt;=R15,"Revise umbrales",IF(L15&gt;=Q15,"Verde",IF(L15&lt;R15,"Rojo","Amarillo"))),IF(Q15&gt;=R15,"Revise umbrales",IF(L15&lt;=Q15,"Verde",IF(L15&gt;R15,"Rojo","Amarillo")))))</f>
        <v/>
      </c>
      <c r="T15" s="16"/>
      <c r="U15" s="16"/>
      <c r="V15" s="16"/>
      <c r="W15" s="16"/>
      <c r="X15" s="16"/>
      <c r="Y15" s="16"/>
      <c r="Z15" s="16"/>
      <c r="AA15" s="19" t="str">
        <f aca="false">IF(A15="","",COUNTA(A15:R15,T15:Z15)/25)</f>
        <v/>
      </c>
    </row>
    <row r="17" customFormat="false" ht="15" hidden="false" customHeight="true" outlineLevel="0" collapsed="false">
      <c r="A17" s="6" t="s">
        <v>97</v>
      </c>
    </row>
    <row r="18" customFormat="false" ht="15" hidden="false" customHeight="true" outlineLevel="0" collapsed="false">
      <c r="A18" s="6" t="s">
        <v>98</v>
      </c>
    </row>
    <row r="19" customFormat="false" ht="15" hidden="false" customHeight="true" outlineLevel="0" collapsed="false">
      <c r="A19" s="6" t="s">
        <v>99</v>
      </c>
    </row>
  </sheetData>
  <mergeCells count="4">
    <mergeCell ref="A3:AA3"/>
    <mergeCell ref="A5:K5"/>
    <mergeCell ref="L5:V5"/>
    <mergeCell ref="W5:AA5"/>
  </mergeCells>
  <conditionalFormatting sqref="S7:S15">
    <cfRule type="expression" priority="2" aboveAverage="0" equalAverage="0" bottom="0" percent="0" rank="0" text="" dxfId="0">
      <formula>S7="Verde"</formula>
    </cfRule>
    <cfRule type="expression" priority="3" aboveAverage="0" equalAverage="0" bottom="0" percent="0" rank="0" text="" dxfId="1">
      <formula>S7="Amarillo"</formula>
    </cfRule>
    <cfRule type="expression" priority="4" aboveAverage="0" equalAverage="0" bottom="0" percent="0" rank="0" text="" dxfId="2">
      <formula>S7="Rojo"</formula>
    </cfRule>
    <cfRule type="expression" priority="5" aboveAverage="0" equalAverage="0" bottom="0" percent="0" rank="0" text="" dxfId="3">
      <formula>S7="Revise umbrales"</formula>
    </cfRule>
  </conditionalFormatting>
  <dataValidations count="4">
    <dataValidation allowBlank="true" errorStyle="stop" operator="between" showDropDown="false" showErrorMessage="false" showInputMessage="false" sqref="C7:C15" type="list">
      <formula1>"Estratégico,Táctico,Operativo"</formula1>
      <formula2>0</formula2>
    </dataValidation>
    <dataValidation allowBlank="true" errorStyle="stop" operator="between" showDropDown="false" showErrorMessage="false" showInputMessage="false" sqref="N7:N15" type="list">
      <formula1>"Más es mejor,Menos es mejor"</formula1>
      <formula2>0</formula2>
    </dataValidation>
    <dataValidation allowBlank="true" errorStyle="stop" operator="between" showDropDown="false" showErrorMessage="false" showInputMessage="false" sqref="W7:W15" type="list">
      <formula1>"Financiera,Clientes,Procesos internos,Aprendizaje y crecimiento"</formula1>
      <formula2>0</formula2>
    </dataValidation>
    <dataValidation allowBlank="true" errorStyle="stop" operator="between" showDropDown="false" showErrorMessage="false" showInputMessage="false" sqref="X7:X15" type="list">
      <formula1>"Resultado,Impulsor"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44"/>
    <col collapsed="false" customWidth="true" hidden="false" outlineLevel="0" max="4" min="4" style="1" width="9"/>
    <col collapsed="false" customWidth="true" hidden="false" outlineLevel="0" max="5" min="5" style="1" width="44"/>
    <col collapsed="false" customWidth="true" hidden="false" outlineLevel="0" max="6" min="6" style="1" width="40"/>
  </cols>
  <sheetData>
    <row r="1" customFormat="false" ht="15" hidden="false" customHeight="true" outlineLevel="0" collapsed="false">
      <c r="A1" s="7" t="s">
        <v>100</v>
      </c>
    </row>
    <row r="2" customFormat="false" ht="17.25" hidden="false" customHeight="true" outlineLevel="0" collapsed="false">
      <c r="A2" s="8" t="s">
        <v>101</v>
      </c>
    </row>
    <row r="3" customFormat="false" ht="45" hidden="false" customHeight="true" outlineLevel="0" collapsed="false">
      <c r="A3" s="3" t="s">
        <v>102</v>
      </c>
      <c r="B3" s="3"/>
      <c r="C3" s="3"/>
      <c r="D3" s="3"/>
      <c r="E3" s="3"/>
      <c r="F3" s="3"/>
    </row>
    <row r="6" customFormat="false" ht="31.5" hidden="false" customHeight="true" outlineLevel="0" collapsed="false">
      <c r="A6" s="12" t="s">
        <v>103</v>
      </c>
      <c r="B6" s="12" t="s">
        <v>104</v>
      </c>
      <c r="C6" s="12" t="s">
        <v>105</v>
      </c>
      <c r="D6" s="12" t="s">
        <v>106</v>
      </c>
      <c r="E6" s="12" t="s">
        <v>107</v>
      </c>
      <c r="F6" s="12" t="s">
        <v>108</v>
      </c>
    </row>
    <row r="7" customFormat="false" ht="15" hidden="false" customHeight="true" outlineLevel="0" collapsed="false">
      <c r="A7" s="20" t="s">
        <v>109</v>
      </c>
      <c r="B7" s="20"/>
      <c r="C7" s="20"/>
      <c r="D7" s="20"/>
      <c r="E7" s="20"/>
      <c r="F7" s="20"/>
    </row>
    <row r="8" customFormat="false" ht="31.5" hidden="false" customHeight="true" outlineLevel="0" collapsed="false">
      <c r="A8" s="21" t="s">
        <v>110</v>
      </c>
      <c r="B8" s="22" t="s">
        <v>111</v>
      </c>
      <c r="C8" s="22" t="s">
        <v>112</v>
      </c>
      <c r="D8" s="21" t="s">
        <v>113</v>
      </c>
      <c r="E8" s="22" t="s">
        <v>114</v>
      </c>
      <c r="F8" s="22" t="s">
        <v>115</v>
      </c>
    </row>
    <row r="9" customFormat="false" ht="31.5" hidden="false" customHeight="true" outlineLevel="0" collapsed="false">
      <c r="A9" s="21" t="s">
        <v>110</v>
      </c>
      <c r="B9" s="22" t="s">
        <v>116</v>
      </c>
      <c r="C9" s="22" t="s">
        <v>117</v>
      </c>
      <c r="D9" s="21" t="s">
        <v>118</v>
      </c>
      <c r="E9" s="22" t="s">
        <v>78</v>
      </c>
      <c r="F9" s="22" t="s">
        <v>119</v>
      </c>
    </row>
    <row r="10" customFormat="false" ht="31.5" hidden="false" customHeight="true" outlineLevel="0" collapsed="false">
      <c r="A10" s="21" t="s">
        <v>120</v>
      </c>
      <c r="B10" s="22" t="s">
        <v>121</v>
      </c>
      <c r="C10" s="22" t="s">
        <v>122</v>
      </c>
      <c r="D10" s="21" t="s">
        <v>118</v>
      </c>
      <c r="E10" s="22" t="s">
        <v>123</v>
      </c>
      <c r="F10" s="22" t="s">
        <v>124</v>
      </c>
    </row>
    <row r="11" customFormat="false" ht="31.5" hidden="false" customHeight="true" outlineLevel="0" collapsed="false">
      <c r="A11" s="21" t="s">
        <v>125</v>
      </c>
      <c r="B11" s="22" t="s">
        <v>126</v>
      </c>
      <c r="C11" s="22" t="s">
        <v>127</v>
      </c>
      <c r="D11" s="21" t="s">
        <v>128</v>
      </c>
      <c r="E11" s="22" t="s">
        <v>129</v>
      </c>
      <c r="F11" s="22" t="s">
        <v>130</v>
      </c>
    </row>
    <row r="12" customFormat="false" ht="31.5" hidden="false" customHeight="true" outlineLevel="0" collapsed="false">
      <c r="A12" s="21" t="s">
        <v>125</v>
      </c>
      <c r="B12" s="22" t="s">
        <v>131</v>
      </c>
      <c r="C12" s="22" t="s">
        <v>132</v>
      </c>
      <c r="D12" s="21" t="s">
        <v>133</v>
      </c>
      <c r="E12" s="22" t="s">
        <v>134</v>
      </c>
      <c r="F12" s="22" t="s">
        <v>135</v>
      </c>
    </row>
    <row r="13" customFormat="false" ht="31.5" hidden="false" customHeight="true" outlineLevel="0" collapsed="false">
      <c r="A13" s="21" t="s">
        <v>136</v>
      </c>
      <c r="B13" s="22" t="s">
        <v>137</v>
      </c>
      <c r="C13" s="22" t="s">
        <v>138</v>
      </c>
      <c r="D13" s="21" t="s">
        <v>139</v>
      </c>
      <c r="E13" s="22" t="s">
        <v>140</v>
      </c>
      <c r="F13" s="22" t="s">
        <v>141</v>
      </c>
    </row>
    <row r="14" customFormat="false" ht="31.5" hidden="false" customHeight="true" outlineLevel="0" collapsed="false">
      <c r="A14" s="21" t="s">
        <v>136</v>
      </c>
      <c r="B14" s="22" t="s">
        <v>142</v>
      </c>
      <c r="C14" s="22" t="s">
        <v>143</v>
      </c>
      <c r="D14" s="21" t="s">
        <v>144</v>
      </c>
      <c r="E14" s="22" t="s">
        <v>145</v>
      </c>
      <c r="F14" s="22" t="s">
        <v>146</v>
      </c>
    </row>
    <row r="15" customFormat="false" ht="15" hidden="false" customHeight="true" outlineLevel="0" collapsed="false">
      <c r="A15" s="20" t="s">
        <v>147</v>
      </c>
      <c r="B15" s="20"/>
      <c r="C15" s="20"/>
      <c r="D15" s="20"/>
      <c r="E15" s="20"/>
      <c r="F15" s="20"/>
    </row>
    <row r="16" customFormat="false" ht="31.5" hidden="false" customHeight="true" outlineLevel="0" collapsed="false">
      <c r="A16" s="21" t="s">
        <v>148</v>
      </c>
      <c r="B16" s="22" t="s">
        <v>149</v>
      </c>
      <c r="C16" s="22" t="s">
        <v>150</v>
      </c>
      <c r="D16" s="21" t="s">
        <v>144</v>
      </c>
      <c r="E16" s="22" t="s">
        <v>151</v>
      </c>
      <c r="F16" s="22" t="s">
        <v>152</v>
      </c>
    </row>
    <row r="17" customFormat="false" ht="31.5" hidden="false" customHeight="true" outlineLevel="0" collapsed="false">
      <c r="A17" s="21" t="s">
        <v>153</v>
      </c>
      <c r="B17" s="22" t="s">
        <v>154</v>
      </c>
      <c r="C17" s="22" t="s">
        <v>155</v>
      </c>
      <c r="D17" s="21" t="s">
        <v>156</v>
      </c>
      <c r="E17" s="22" t="s">
        <v>157</v>
      </c>
      <c r="F17" s="22" t="s">
        <v>158</v>
      </c>
    </row>
    <row r="18" customFormat="false" ht="31.5" hidden="false" customHeight="true" outlineLevel="0" collapsed="false">
      <c r="A18" s="21" t="s">
        <v>153</v>
      </c>
      <c r="B18" s="22" t="s">
        <v>159</v>
      </c>
      <c r="C18" s="22" t="s">
        <v>160</v>
      </c>
      <c r="D18" s="21" t="s">
        <v>156</v>
      </c>
      <c r="E18" s="22" t="s">
        <v>161</v>
      </c>
      <c r="F18" s="22" t="s">
        <v>162</v>
      </c>
    </row>
    <row r="19" customFormat="false" ht="31.5" hidden="false" customHeight="true" outlineLevel="0" collapsed="false">
      <c r="A19" s="21" t="s">
        <v>163</v>
      </c>
      <c r="B19" s="22" t="s">
        <v>164</v>
      </c>
      <c r="C19" s="22" t="s">
        <v>165</v>
      </c>
      <c r="D19" s="21" t="s">
        <v>166</v>
      </c>
      <c r="E19" s="22" t="s">
        <v>167</v>
      </c>
      <c r="F19" s="22" t="s">
        <v>168</v>
      </c>
    </row>
    <row r="20" customFormat="false" ht="31.5" hidden="false" customHeight="true" outlineLevel="0" collapsed="false">
      <c r="A20" s="21" t="s">
        <v>163</v>
      </c>
      <c r="B20" s="22" t="s">
        <v>169</v>
      </c>
      <c r="C20" s="22" t="s">
        <v>170</v>
      </c>
      <c r="D20" s="21" t="s">
        <v>166</v>
      </c>
      <c r="E20" s="22" t="s">
        <v>171</v>
      </c>
      <c r="F20" s="22" t="s">
        <v>172</v>
      </c>
    </row>
    <row r="21" customFormat="false" ht="15" hidden="false" customHeight="true" outlineLevel="0" collapsed="false">
      <c r="A21" s="23" t="s">
        <v>173</v>
      </c>
      <c r="B21" s="23"/>
      <c r="C21" s="23"/>
      <c r="D21" s="23"/>
      <c r="E21" s="23"/>
      <c r="F21" s="23"/>
    </row>
    <row r="22" customFormat="false" ht="31.5" hidden="false" customHeight="true" outlineLevel="0" collapsed="false">
      <c r="A22" s="21" t="s">
        <v>174</v>
      </c>
      <c r="B22" s="22" t="s">
        <v>175</v>
      </c>
      <c r="C22" s="22" t="s">
        <v>176</v>
      </c>
      <c r="D22" s="21" t="s">
        <v>177</v>
      </c>
      <c r="E22" s="22" t="s">
        <v>178</v>
      </c>
      <c r="F22" s="22" t="s">
        <v>179</v>
      </c>
    </row>
    <row r="23" customFormat="false" ht="31.5" hidden="false" customHeight="true" outlineLevel="0" collapsed="false">
      <c r="A23" s="21" t="s">
        <v>174</v>
      </c>
      <c r="B23" s="22" t="s">
        <v>180</v>
      </c>
      <c r="C23" s="22" t="s">
        <v>181</v>
      </c>
      <c r="D23" s="21" t="s">
        <v>166</v>
      </c>
      <c r="E23" s="22" t="s">
        <v>93</v>
      </c>
      <c r="F23" s="22" t="s">
        <v>182</v>
      </c>
    </row>
    <row r="24" customFormat="false" ht="31.5" hidden="false" customHeight="true" outlineLevel="0" collapsed="false">
      <c r="A24" s="21" t="s">
        <v>183</v>
      </c>
      <c r="B24" s="22" t="s">
        <v>184</v>
      </c>
      <c r="C24" s="22" t="s">
        <v>185</v>
      </c>
      <c r="D24" s="21" t="s">
        <v>186</v>
      </c>
      <c r="E24" s="22" t="s">
        <v>187</v>
      </c>
      <c r="F24" s="22" t="s">
        <v>188</v>
      </c>
    </row>
  </sheetData>
  <mergeCells count="4">
    <mergeCell ref="A3:F3"/>
    <mergeCell ref="A7:F7"/>
    <mergeCell ref="A15:F15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6" min="6" style="1" width="36"/>
    <col collapsed="false" customWidth="true" hidden="false" outlineLevel="0" max="7" min="7" style="1" width="20"/>
  </cols>
  <sheetData>
    <row r="1" customFormat="false" ht="15" hidden="false" customHeight="true" outlineLevel="0" collapsed="false">
      <c r="A1" s="7" t="s">
        <v>189</v>
      </c>
    </row>
    <row r="2" customFormat="false" ht="17.25" hidden="false" customHeight="true" outlineLevel="0" collapsed="false">
      <c r="A2" s="8" t="s">
        <v>14</v>
      </c>
    </row>
    <row r="3" customFormat="false" ht="30" hidden="false" customHeight="true" outlineLevel="0" collapsed="false">
      <c r="A3" s="3" t="s">
        <v>190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9" t="s">
        <v>43</v>
      </c>
      <c r="C4" s="9" t="s">
        <v>44</v>
      </c>
      <c r="E4" s="9" t="s">
        <v>45</v>
      </c>
    </row>
    <row r="6" customFormat="false" ht="31.5" hidden="false" customHeight="true" outlineLevel="0" collapsed="false">
      <c r="A6" s="12" t="s">
        <v>191</v>
      </c>
      <c r="B6" s="12" t="s">
        <v>192</v>
      </c>
      <c r="C6" s="12" t="s">
        <v>193</v>
      </c>
      <c r="D6" s="12" t="s">
        <v>194</v>
      </c>
      <c r="E6" s="12" t="s">
        <v>195</v>
      </c>
      <c r="F6" s="12" t="s">
        <v>196</v>
      </c>
      <c r="G6" s="12" t="s">
        <v>197</v>
      </c>
    </row>
    <row r="7" customFormat="false" ht="27.75" hidden="false" customHeight="true" outlineLevel="0" collapsed="false">
      <c r="A7" s="24" t="s">
        <v>198</v>
      </c>
      <c r="B7" s="24" t="s">
        <v>199</v>
      </c>
      <c r="C7" s="24" t="s">
        <v>200</v>
      </c>
      <c r="D7" s="25" t="n">
        <v>360</v>
      </c>
      <c r="E7" s="25" t="n">
        <v>16</v>
      </c>
      <c r="F7" s="24" t="s">
        <v>201</v>
      </c>
      <c r="G7" s="24" t="s">
        <v>202</v>
      </c>
    </row>
    <row r="8" customFormat="false" ht="15" hidden="false" customHeight="true" outlineLevel="0" collapsed="false">
      <c r="A8" s="16"/>
      <c r="B8" s="16"/>
      <c r="C8" s="16"/>
      <c r="D8" s="26"/>
      <c r="E8" s="26"/>
      <c r="F8" s="16"/>
      <c r="G8" s="16"/>
    </row>
    <row r="9" customFormat="false" ht="15" hidden="false" customHeight="true" outlineLevel="0" collapsed="false">
      <c r="A9" s="16"/>
      <c r="B9" s="16"/>
      <c r="C9" s="16"/>
      <c r="D9" s="26"/>
      <c r="E9" s="26"/>
      <c r="F9" s="16"/>
      <c r="G9" s="16"/>
    </row>
    <row r="10" customFormat="false" ht="15" hidden="false" customHeight="true" outlineLevel="0" collapsed="false">
      <c r="A10" s="16"/>
      <c r="B10" s="16"/>
      <c r="C10" s="16"/>
      <c r="D10" s="26"/>
      <c r="E10" s="26"/>
      <c r="F10" s="16"/>
      <c r="G10" s="16"/>
    </row>
    <row r="11" customFormat="false" ht="15" hidden="false" customHeight="true" outlineLevel="0" collapsed="false">
      <c r="A11" s="16"/>
      <c r="B11" s="16"/>
      <c r="C11" s="16"/>
      <c r="D11" s="26"/>
      <c r="E11" s="26"/>
      <c r="F11" s="16"/>
      <c r="G11" s="16"/>
    </row>
    <row r="12" customFormat="false" ht="15" hidden="false" customHeight="true" outlineLevel="0" collapsed="false">
      <c r="A12" s="16"/>
      <c r="B12" s="16"/>
      <c r="C12" s="16"/>
      <c r="D12" s="26"/>
      <c r="E12" s="26"/>
      <c r="F12" s="16"/>
      <c r="G12" s="16"/>
    </row>
    <row r="13" customFormat="false" ht="15" hidden="false" customHeight="true" outlineLevel="0" collapsed="false">
      <c r="A13" s="16"/>
      <c r="B13" s="16"/>
      <c r="C13" s="16"/>
      <c r="D13" s="26"/>
      <c r="E13" s="26"/>
      <c r="F13" s="16"/>
      <c r="G13" s="16"/>
    </row>
    <row r="14" customFormat="false" ht="15" hidden="false" customHeight="true" outlineLevel="0" collapsed="false">
      <c r="A14" s="16"/>
      <c r="B14" s="16"/>
      <c r="C14" s="16"/>
      <c r="D14" s="26"/>
      <c r="E14" s="26"/>
      <c r="F14" s="16"/>
      <c r="G14" s="16"/>
    </row>
    <row r="15" customFormat="false" ht="15" hidden="false" customHeight="true" outlineLevel="0" collapsed="false">
      <c r="A15" s="16"/>
      <c r="B15" s="16"/>
      <c r="C15" s="16"/>
      <c r="D15" s="26"/>
      <c r="E15" s="26"/>
      <c r="F15" s="16"/>
      <c r="G15" s="16"/>
    </row>
    <row r="16" customFormat="false" ht="15" hidden="false" customHeight="true" outlineLevel="0" collapsed="false">
      <c r="A16" s="16"/>
      <c r="B16" s="16"/>
      <c r="C16" s="16"/>
      <c r="D16" s="26"/>
      <c r="E16" s="26"/>
      <c r="F16" s="16"/>
      <c r="G16" s="16"/>
    </row>
    <row r="17" customFormat="false" ht="15" hidden="false" customHeight="true" outlineLevel="0" collapsed="false">
      <c r="A17" s="16"/>
      <c r="B17" s="16"/>
      <c r="C17" s="16"/>
      <c r="D17" s="26"/>
      <c r="E17" s="26"/>
      <c r="F17" s="16"/>
      <c r="G17" s="16"/>
    </row>
    <row r="18" customFormat="false" ht="15" hidden="false" customHeight="true" outlineLevel="0" collapsed="false">
      <c r="A18" s="16"/>
      <c r="B18" s="16"/>
      <c r="C18" s="16"/>
      <c r="D18" s="26"/>
      <c r="E18" s="26"/>
      <c r="F18" s="16"/>
      <c r="G18" s="16"/>
    </row>
    <row r="19" customFormat="false" ht="15" hidden="false" customHeight="true" outlineLevel="0" collapsed="false">
      <c r="A19" s="16"/>
      <c r="B19" s="16"/>
      <c r="C19" s="16"/>
      <c r="D19" s="26"/>
      <c r="E19" s="26"/>
      <c r="F19" s="16"/>
      <c r="G19" s="16"/>
    </row>
    <row r="20" customFormat="false" ht="15" hidden="false" customHeight="true" outlineLevel="0" collapsed="false">
      <c r="A20" s="16"/>
      <c r="B20" s="16"/>
      <c r="C20" s="16"/>
      <c r="D20" s="26"/>
      <c r="E20" s="26"/>
      <c r="F20" s="16"/>
      <c r="G20" s="16"/>
    </row>
    <row r="21" customFormat="false" ht="15" hidden="false" customHeight="true" outlineLevel="0" collapsed="false">
      <c r="A21" s="16"/>
      <c r="B21" s="16"/>
      <c r="C21" s="16"/>
      <c r="D21" s="26"/>
      <c r="E21" s="26"/>
      <c r="F21" s="16"/>
      <c r="G21" s="16"/>
    </row>
    <row r="22" customFormat="false" ht="15" hidden="false" customHeight="true" outlineLevel="0" collapsed="false">
      <c r="A22" s="16"/>
      <c r="B22" s="16"/>
      <c r="C22" s="16"/>
      <c r="D22" s="26"/>
      <c r="E22" s="26"/>
      <c r="F22" s="16"/>
      <c r="G22" s="16"/>
    </row>
  </sheetData>
  <mergeCells count="1"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7" min="6" style="1" width="30"/>
  </cols>
  <sheetData>
    <row r="1" customFormat="false" ht="15" hidden="false" customHeight="true" outlineLevel="0" collapsed="false">
      <c r="A1" s="7" t="s">
        <v>203</v>
      </c>
    </row>
    <row r="2" customFormat="false" ht="17.25" hidden="false" customHeight="true" outlineLevel="0" collapsed="false">
      <c r="A2" s="8" t="s">
        <v>17</v>
      </c>
    </row>
    <row r="3" customFormat="false" ht="30" hidden="false" customHeight="true" outlineLevel="0" collapsed="false">
      <c r="A3" s="3" t="s">
        <v>204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9" t="s">
        <v>43</v>
      </c>
      <c r="C4" s="9" t="s">
        <v>44</v>
      </c>
      <c r="E4" s="9" t="s">
        <v>45</v>
      </c>
    </row>
    <row r="6" customFormat="false" ht="31.5" hidden="false" customHeight="true" outlineLevel="0" collapsed="false">
      <c r="A6" s="12" t="s">
        <v>205</v>
      </c>
      <c r="B6" s="12" t="s">
        <v>206</v>
      </c>
      <c r="C6" s="12" t="s">
        <v>207</v>
      </c>
      <c r="D6" s="12" t="s">
        <v>208</v>
      </c>
      <c r="E6" s="12" t="s">
        <v>209</v>
      </c>
      <c r="F6" s="12" t="s">
        <v>210</v>
      </c>
      <c r="G6" s="12" t="s">
        <v>211</v>
      </c>
    </row>
    <row r="7" customFormat="false" ht="27.75" hidden="false" customHeight="true" outlineLevel="0" collapsed="false">
      <c r="A7" s="24" t="s">
        <v>212</v>
      </c>
      <c r="B7" s="24" t="s">
        <v>213</v>
      </c>
      <c r="C7" s="24" t="s">
        <v>214</v>
      </c>
      <c r="D7" s="24" t="s">
        <v>215</v>
      </c>
      <c r="E7" s="24" t="s">
        <v>216</v>
      </c>
      <c r="F7" s="24" t="s">
        <v>217</v>
      </c>
      <c r="G7" s="24" t="s">
        <v>218</v>
      </c>
    </row>
    <row r="8" customFormat="false" ht="15" hidden="false" customHeight="true" outlineLevel="0" collapsed="false">
      <c r="A8" s="16"/>
      <c r="B8" s="16"/>
      <c r="C8" s="16"/>
      <c r="D8" s="16"/>
      <c r="E8" s="16"/>
      <c r="F8" s="16"/>
      <c r="G8" s="16"/>
    </row>
    <row r="9" customFormat="false" ht="15" hidden="false" customHeight="true" outlineLevel="0" collapsed="false">
      <c r="A9" s="16"/>
      <c r="B9" s="16"/>
      <c r="C9" s="16"/>
      <c r="D9" s="16"/>
      <c r="E9" s="16"/>
      <c r="F9" s="16"/>
      <c r="G9" s="16"/>
    </row>
    <row r="10" customFormat="false" ht="15" hidden="false" customHeight="true" outlineLevel="0" collapsed="false">
      <c r="A10" s="16"/>
      <c r="B10" s="16"/>
      <c r="C10" s="16"/>
      <c r="D10" s="16"/>
      <c r="E10" s="16"/>
      <c r="F10" s="16"/>
      <c r="G10" s="16"/>
    </row>
    <row r="11" customFormat="false" ht="15" hidden="false" customHeight="true" outlineLevel="0" collapsed="false">
      <c r="A11" s="16"/>
      <c r="B11" s="16"/>
      <c r="C11" s="16"/>
      <c r="D11" s="16"/>
      <c r="E11" s="16"/>
      <c r="F11" s="16"/>
      <c r="G11" s="16"/>
    </row>
    <row r="12" customFormat="false" ht="15" hidden="false" customHeight="true" outlineLevel="0" collapsed="false">
      <c r="A12" s="16"/>
      <c r="B12" s="16"/>
      <c r="C12" s="16"/>
      <c r="D12" s="16"/>
      <c r="E12" s="16"/>
      <c r="F12" s="16"/>
      <c r="G12" s="16"/>
    </row>
    <row r="13" customFormat="false" ht="15" hidden="false" customHeight="true" outlineLevel="0" collapsed="false">
      <c r="A13" s="16"/>
      <c r="B13" s="16"/>
      <c r="C13" s="16"/>
      <c r="D13" s="16"/>
      <c r="E13" s="16"/>
      <c r="F13" s="16"/>
      <c r="G13" s="16"/>
    </row>
    <row r="14" customFormat="false" ht="15" hidden="false" customHeight="true" outlineLevel="0" collapsed="false">
      <c r="A14" s="16"/>
      <c r="B14" s="16"/>
      <c r="C14" s="16"/>
      <c r="D14" s="16"/>
      <c r="E14" s="16"/>
      <c r="F14" s="16"/>
      <c r="G14" s="16"/>
    </row>
    <row r="15" customFormat="false" ht="15" hidden="false" customHeight="true" outlineLevel="0" collapsed="false">
      <c r="A15" s="16"/>
      <c r="B15" s="16"/>
      <c r="C15" s="16"/>
      <c r="D15" s="16"/>
      <c r="E15" s="16"/>
      <c r="F15" s="16"/>
      <c r="G15" s="16"/>
    </row>
    <row r="16" customFormat="false" ht="15" hidden="false" customHeight="true" outlineLevel="0" collapsed="false">
      <c r="A16" s="16"/>
      <c r="B16" s="16"/>
      <c r="C16" s="16"/>
      <c r="D16" s="16"/>
      <c r="E16" s="16"/>
      <c r="F16" s="16"/>
      <c r="G16" s="16"/>
    </row>
    <row r="17" customFormat="false" ht="15" hidden="false" customHeight="true" outlineLevel="0" collapsed="false">
      <c r="A17" s="16"/>
      <c r="B17" s="16"/>
      <c r="C17" s="16"/>
      <c r="D17" s="16"/>
      <c r="E17" s="16"/>
      <c r="F17" s="16"/>
      <c r="G17" s="16"/>
    </row>
    <row r="18" customFormat="false" ht="15" hidden="false" customHeight="true" outlineLevel="0" collapsed="false">
      <c r="A18" s="16"/>
      <c r="B18" s="16"/>
      <c r="C18" s="16"/>
      <c r="D18" s="16"/>
      <c r="E18" s="16"/>
      <c r="F18" s="16"/>
      <c r="G18" s="16"/>
    </row>
    <row r="19" customFormat="false" ht="15" hidden="false" customHeight="true" outlineLevel="0" collapsed="false">
      <c r="A19" s="16"/>
      <c r="B19" s="16"/>
      <c r="C19" s="16"/>
      <c r="D19" s="16"/>
      <c r="E19" s="16"/>
      <c r="F19" s="16"/>
      <c r="G19" s="16"/>
    </row>
    <row r="20" customFormat="false" ht="15" hidden="false" customHeight="true" outlineLevel="0" collapsed="false">
      <c r="A20" s="16"/>
      <c r="B20" s="16"/>
      <c r="C20" s="16"/>
      <c r="D20" s="16"/>
      <c r="E20" s="16"/>
      <c r="F20" s="16"/>
      <c r="G20" s="16"/>
    </row>
    <row r="21" customFormat="false" ht="15" hidden="false" customHeight="true" outlineLevel="0" collapsed="false">
      <c r="A21" s="16"/>
      <c r="B21" s="16"/>
      <c r="C21" s="16"/>
      <c r="D21" s="16"/>
      <c r="E21" s="16"/>
      <c r="F21" s="16"/>
      <c r="G21" s="16"/>
    </row>
    <row r="22" customFormat="false" ht="15" hidden="false" customHeight="true" outlineLevel="0" collapsed="false">
      <c r="A22" s="16"/>
      <c r="B22" s="16"/>
      <c r="C22" s="16"/>
      <c r="D22" s="16"/>
      <c r="E22" s="16"/>
      <c r="F22" s="16"/>
      <c r="G22" s="16"/>
    </row>
  </sheetData>
  <mergeCells count="1"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9"/>
    <col collapsed="false" customWidth="true" hidden="false" outlineLevel="0" max="6" min="6" style="1" width="34"/>
    <col collapsed="false" customWidth="true" hidden="false" outlineLevel="0" max="7" min="7" style="1" width="32"/>
  </cols>
  <sheetData>
    <row r="1" customFormat="false" ht="15" hidden="false" customHeight="true" outlineLevel="0" collapsed="false">
      <c r="A1" s="7" t="s">
        <v>219</v>
      </c>
    </row>
    <row r="2" customFormat="false" ht="17.25" hidden="false" customHeight="true" outlineLevel="0" collapsed="false">
      <c r="A2" s="8" t="s">
        <v>20</v>
      </c>
    </row>
    <row r="3" customFormat="false" ht="30" hidden="false" customHeight="true" outlineLevel="0" collapsed="false">
      <c r="A3" s="3" t="s">
        <v>220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9" t="s">
        <v>43</v>
      </c>
      <c r="C4" s="9" t="s">
        <v>44</v>
      </c>
      <c r="E4" s="9" t="s">
        <v>45</v>
      </c>
    </row>
    <row r="6" customFormat="false" ht="31.5" hidden="false" customHeight="true" outlineLevel="0" collapsed="false">
      <c r="A6" s="12" t="s">
        <v>221</v>
      </c>
      <c r="B6" s="12" t="s">
        <v>222</v>
      </c>
      <c r="C6" s="12" t="s">
        <v>223</v>
      </c>
      <c r="D6" s="12" t="s">
        <v>224</v>
      </c>
      <c r="E6" s="12" t="s">
        <v>194</v>
      </c>
      <c r="F6" s="12" t="s">
        <v>225</v>
      </c>
      <c r="G6" s="12" t="s">
        <v>226</v>
      </c>
    </row>
    <row r="7" customFormat="false" ht="15" hidden="false" customHeight="true" outlineLevel="0" collapsed="false">
      <c r="A7" s="24" t="s">
        <v>212</v>
      </c>
      <c r="B7" s="24" t="s">
        <v>227</v>
      </c>
      <c r="C7" s="24" t="s">
        <v>228</v>
      </c>
      <c r="D7" s="24" t="s">
        <v>229</v>
      </c>
      <c r="E7" s="25" t="n">
        <v>4820</v>
      </c>
      <c r="F7" s="24" t="s">
        <v>230</v>
      </c>
      <c r="G7" s="24" t="s">
        <v>231</v>
      </c>
    </row>
    <row r="8" customFormat="false" ht="15" hidden="false" customHeight="true" outlineLevel="0" collapsed="false">
      <c r="A8" s="16"/>
      <c r="B8" s="16"/>
      <c r="C8" s="16"/>
      <c r="D8" s="16"/>
      <c r="E8" s="26"/>
      <c r="F8" s="16"/>
      <c r="G8" s="16"/>
    </row>
    <row r="9" customFormat="false" ht="15" hidden="false" customHeight="true" outlineLevel="0" collapsed="false">
      <c r="A9" s="16"/>
      <c r="B9" s="16"/>
      <c r="C9" s="16"/>
      <c r="D9" s="16"/>
      <c r="E9" s="26"/>
      <c r="F9" s="16"/>
      <c r="G9" s="16"/>
    </row>
    <row r="10" customFormat="false" ht="15" hidden="false" customHeight="true" outlineLevel="0" collapsed="false">
      <c r="A10" s="16"/>
      <c r="B10" s="16"/>
      <c r="C10" s="16"/>
      <c r="D10" s="16"/>
      <c r="E10" s="26"/>
      <c r="F10" s="16"/>
      <c r="G10" s="16"/>
    </row>
    <row r="11" customFormat="false" ht="15" hidden="false" customHeight="true" outlineLevel="0" collapsed="false">
      <c r="A11" s="16"/>
      <c r="B11" s="16"/>
      <c r="C11" s="16"/>
      <c r="D11" s="16"/>
      <c r="E11" s="26"/>
      <c r="F11" s="16"/>
      <c r="G11" s="16"/>
    </row>
    <row r="12" customFormat="false" ht="15" hidden="false" customHeight="true" outlineLevel="0" collapsed="false">
      <c r="A12" s="16"/>
      <c r="B12" s="16"/>
      <c r="C12" s="16"/>
      <c r="D12" s="16"/>
      <c r="E12" s="26"/>
      <c r="F12" s="16"/>
      <c r="G12" s="16"/>
    </row>
    <row r="13" customFormat="false" ht="15" hidden="false" customHeight="true" outlineLevel="0" collapsed="false">
      <c r="A13" s="16"/>
      <c r="B13" s="16"/>
      <c r="C13" s="16"/>
      <c r="D13" s="16"/>
      <c r="E13" s="26"/>
      <c r="F13" s="16"/>
      <c r="G13" s="16"/>
    </row>
    <row r="14" customFormat="false" ht="15" hidden="false" customHeight="true" outlineLevel="0" collapsed="false">
      <c r="A14" s="16"/>
      <c r="B14" s="16"/>
      <c r="C14" s="16"/>
      <c r="D14" s="16"/>
      <c r="E14" s="26"/>
      <c r="F14" s="16"/>
      <c r="G14" s="16"/>
    </row>
    <row r="15" customFormat="false" ht="15" hidden="false" customHeight="true" outlineLevel="0" collapsed="false">
      <c r="A15" s="16"/>
      <c r="B15" s="16"/>
      <c r="C15" s="16"/>
      <c r="D15" s="16"/>
      <c r="E15" s="26"/>
      <c r="F15" s="16"/>
      <c r="G15" s="16"/>
    </row>
    <row r="16" customFormat="false" ht="15" hidden="false" customHeight="true" outlineLevel="0" collapsed="false">
      <c r="A16" s="16"/>
      <c r="B16" s="16"/>
      <c r="C16" s="16"/>
      <c r="D16" s="16"/>
      <c r="E16" s="26"/>
      <c r="F16" s="16"/>
      <c r="G16" s="16"/>
    </row>
    <row r="17" customFormat="false" ht="15" hidden="false" customHeight="true" outlineLevel="0" collapsed="false">
      <c r="A17" s="16"/>
      <c r="B17" s="16"/>
      <c r="C17" s="16"/>
      <c r="D17" s="16"/>
      <c r="E17" s="26"/>
      <c r="F17" s="16"/>
      <c r="G17" s="16"/>
    </row>
    <row r="18" customFormat="false" ht="15" hidden="false" customHeight="true" outlineLevel="0" collapsed="false">
      <c r="A18" s="16"/>
      <c r="B18" s="16"/>
      <c r="C18" s="16"/>
      <c r="D18" s="16"/>
      <c r="E18" s="26"/>
      <c r="F18" s="16"/>
      <c r="G18" s="16"/>
    </row>
    <row r="19" customFormat="false" ht="15" hidden="false" customHeight="true" outlineLevel="0" collapsed="false">
      <c r="A19" s="16"/>
      <c r="B19" s="16"/>
      <c r="C19" s="16"/>
      <c r="D19" s="16"/>
      <c r="E19" s="26"/>
      <c r="F19" s="16"/>
      <c r="G19" s="16"/>
    </row>
    <row r="20" customFormat="false" ht="15" hidden="false" customHeight="true" outlineLevel="0" collapsed="false">
      <c r="A20" s="16"/>
      <c r="B20" s="16"/>
      <c r="C20" s="16"/>
      <c r="D20" s="16"/>
      <c r="E20" s="26"/>
      <c r="F20" s="16"/>
      <c r="G20" s="16"/>
    </row>
    <row r="21" customFormat="false" ht="15" hidden="false" customHeight="true" outlineLevel="0" collapsed="false">
      <c r="A21" s="16"/>
      <c r="B21" s="16"/>
      <c r="C21" s="16"/>
      <c r="D21" s="16"/>
      <c r="E21" s="26"/>
      <c r="F21" s="16"/>
      <c r="G21" s="16"/>
    </row>
    <row r="22" customFormat="false" ht="15" hidden="false" customHeight="true" outlineLevel="0" collapsed="false">
      <c r="A22" s="16"/>
      <c r="B22" s="16"/>
      <c r="C22" s="16"/>
      <c r="D22" s="16"/>
      <c r="E22" s="26"/>
      <c r="F22" s="16"/>
      <c r="G22" s="16"/>
    </row>
  </sheetData>
  <mergeCells count="1">
    <mergeCell ref="A3:G3"/>
  </mergeCells>
  <dataValidations count="1">
    <dataValidation allowBlank="true" errorStyle="stop" operator="between" showDropDown="false" showErrorMessage="false" showInputMessage="false" sqref="D7:D22" type="list">
      <formula1>"Privado,Organizacional,Público"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11"/>
    <col collapsed="false" customWidth="true" hidden="false" outlineLevel="0" max="5" min="4" style="1" width="12"/>
    <col collapsed="false" customWidth="true" hidden="false" outlineLevel="0" max="6" min="6" style="1" width="13"/>
    <col collapsed="false" customWidth="true" hidden="false" outlineLevel="0" max="7" min="7" style="1" width="34"/>
  </cols>
  <sheetData>
    <row r="1" customFormat="false" ht="15" hidden="false" customHeight="true" outlineLevel="0" collapsed="false">
      <c r="A1" s="7" t="s">
        <v>232</v>
      </c>
    </row>
    <row r="2" customFormat="false" ht="17.25" hidden="false" customHeight="true" outlineLevel="0" collapsed="false">
      <c r="A2" s="8" t="s">
        <v>23</v>
      </c>
    </row>
    <row r="3" customFormat="false" ht="30" hidden="false" customHeight="true" outlineLevel="0" collapsed="false">
      <c r="A3" s="3" t="s">
        <v>233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9" t="s">
        <v>43</v>
      </c>
      <c r="C4" s="9" t="s">
        <v>44</v>
      </c>
      <c r="E4" s="9" t="s">
        <v>45</v>
      </c>
    </row>
    <row r="6" customFormat="false" ht="31.5" hidden="false" customHeight="true" outlineLevel="0" collapsed="false">
      <c r="A6" s="12" t="s">
        <v>234</v>
      </c>
      <c r="B6" s="12" t="s">
        <v>235</v>
      </c>
      <c r="C6" s="12" t="s">
        <v>236</v>
      </c>
      <c r="D6" s="12" t="s">
        <v>237</v>
      </c>
      <c r="E6" s="12" t="s">
        <v>238</v>
      </c>
      <c r="F6" s="12" t="s">
        <v>239</v>
      </c>
      <c r="G6" s="12" t="s">
        <v>240</v>
      </c>
    </row>
    <row r="7" customFormat="false" ht="15" hidden="false" customHeight="true" outlineLevel="0" collapsed="false">
      <c r="A7" s="24" t="s">
        <v>241</v>
      </c>
      <c r="B7" s="24" t="s">
        <v>242</v>
      </c>
      <c r="C7" s="25" t="n">
        <v>7764</v>
      </c>
      <c r="D7" s="25" t="n">
        <v>24</v>
      </c>
      <c r="E7" s="25" t="n">
        <v>7740</v>
      </c>
      <c r="F7" s="24" t="s">
        <v>243</v>
      </c>
      <c r="G7" s="24" t="s">
        <v>244</v>
      </c>
    </row>
    <row r="8" customFormat="false" ht="15" hidden="false" customHeight="true" outlineLevel="0" collapsed="false">
      <c r="A8" s="16"/>
      <c r="B8" s="16"/>
      <c r="C8" s="26"/>
      <c r="D8" s="26"/>
      <c r="E8" s="26"/>
      <c r="F8" s="16"/>
      <c r="G8" s="16"/>
    </row>
    <row r="9" customFormat="false" ht="15" hidden="false" customHeight="true" outlineLevel="0" collapsed="false">
      <c r="A9" s="16"/>
      <c r="B9" s="16"/>
      <c r="C9" s="26"/>
      <c r="D9" s="26"/>
      <c r="E9" s="26"/>
      <c r="F9" s="16"/>
      <c r="G9" s="16"/>
    </row>
    <row r="10" customFormat="false" ht="15" hidden="false" customHeight="true" outlineLevel="0" collapsed="false">
      <c r="A10" s="16"/>
      <c r="B10" s="16"/>
      <c r="C10" s="26"/>
      <c r="D10" s="26"/>
      <c r="E10" s="26"/>
      <c r="F10" s="16"/>
      <c r="G10" s="16"/>
    </row>
    <row r="11" customFormat="false" ht="15" hidden="false" customHeight="true" outlineLevel="0" collapsed="false">
      <c r="A11" s="16"/>
      <c r="B11" s="16"/>
      <c r="C11" s="26"/>
      <c r="D11" s="26"/>
      <c r="E11" s="26"/>
      <c r="F11" s="16"/>
      <c r="G11" s="16"/>
    </row>
    <row r="12" customFormat="false" ht="15" hidden="false" customHeight="true" outlineLevel="0" collapsed="false">
      <c r="A12" s="16"/>
      <c r="B12" s="16"/>
      <c r="C12" s="26"/>
      <c r="D12" s="26"/>
      <c r="E12" s="26"/>
      <c r="F12" s="16"/>
      <c r="G12" s="16"/>
    </row>
    <row r="13" customFormat="false" ht="15" hidden="false" customHeight="true" outlineLevel="0" collapsed="false">
      <c r="A13" s="16"/>
      <c r="B13" s="16"/>
      <c r="C13" s="26"/>
      <c r="D13" s="26"/>
      <c r="E13" s="26"/>
      <c r="F13" s="16"/>
      <c r="G13" s="16"/>
    </row>
    <row r="14" customFormat="false" ht="15" hidden="false" customHeight="true" outlineLevel="0" collapsed="false">
      <c r="A14" s="16"/>
      <c r="B14" s="16"/>
      <c r="C14" s="26"/>
      <c r="D14" s="26"/>
      <c r="E14" s="26"/>
      <c r="F14" s="16"/>
      <c r="G14" s="16"/>
    </row>
    <row r="15" customFormat="false" ht="15" hidden="false" customHeight="true" outlineLevel="0" collapsed="false">
      <c r="A15" s="16"/>
      <c r="B15" s="16"/>
      <c r="C15" s="26"/>
      <c r="D15" s="26"/>
      <c r="E15" s="26"/>
      <c r="F15" s="16"/>
      <c r="G15" s="16"/>
    </row>
    <row r="16" customFormat="false" ht="15" hidden="false" customHeight="true" outlineLevel="0" collapsed="false">
      <c r="A16" s="16"/>
      <c r="B16" s="16"/>
      <c r="C16" s="26"/>
      <c r="D16" s="26"/>
      <c r="E16" s="26"/>
      <c r="F16" s="16"/>
      <c r="G16" s="16"/>
    </row>
    <row r="17" customFormat="false" ht="15" hidden="false" customHeight="true" outlineLevel="0" collapsed="false">
      <c r="A17" s="16"/>
      <c r="B17" s="16"/>
      <c r="C17" s="26"/>
      <c r="D17" s="26"/>
      <c r="E17" s="26"/>
      <c r="F17" s="16"/>
      <c r="G17" s="16"/>
    </row>
    <row r="18" customFormat="false" ht="15" hidden="false" customHeight="true" outlineLevel="0" collapsed="false">
      <c r="A18" s="16"/>
      <c r="B18" s="16"/>
      <c r="C18" s="26"/>
      <c r="D18" s="26"/>
      <c r="E18" s="26"/>
      <c r="F18" s="16"/>
      <c r="G18" s="16"/>
    </row>
    <row r="19" customFormat="false" ht="15" hidden="false" customHeight="true" outlineLevel="0" collapsed="false">
      <c r="A19" s="16"/>
      <c r="B19" s="16"/>
      <c r="C19" s="26"/>
      <c r="D19" s="26"/>
      <c r="E19" s="26"/>
      <c r="F19" s="16"/>
      <c r="G19" s="16"/>
    </row>
    <row r="20" customFormat="false" ht="15" hidden="false" customHeight="true" outlineLevel="0" collapsed="false">
      <c r="A20" s="16"/>
      <c r="B20" s="16"/>
      <c r="C20" s="26"/>
      <c r="D20" s="26"/>
      <c r="E20" s="26"/>
      <c r="F20" s="16"/>
      <c r="G20" s="16"/>
    </row>
    <row r="21" customFormat="false" ht="15" hidden="false" customHeight="true" outlineLevel="0" collapsed="false">
      <c r="A21" s="16"/>
      <c r="B21" s="16"/>
      <c r="C21" s="26"/>
      <c r="D21" s="26"/>
      <c r="E21" s="26"/>
      <c r="F21" s="16"/>
      <c r="G21" s="16"/>
    </row>
    <row r="22" customFormat="false" ht="15" hidden="false" customHeight="true" outlineLevel="0" collapsed="false">
      <c r="A22" s="16"/>
      <c r="B22" s="16"/>
      <c r="C22" s="26"/>
      <c r="D22" s="26"/>
      <c r="E22" s="26"/>
      <c r="F22" s="16"/>
      <c r="G22" s="16"/>
    </row>
  </sheetData>
  <mergeCells count="1">
    <mergeCell ref="A3:G3"/>
  </mergeCells>
  <dataValidations count="1">
    <dataValidation allowBlank="true" errorStyle="stop" operator="between" showDropDown="false" showErrorMessage="false" showInputMessage="false" sqref="F7:F22" type="list">
      <formula1>"Corregir,Marcar,Excluir,Enmascarar"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34"/>
  </cols>
  <sheetData>
    <row r="1" customFormat="false" ht="15" hidden="false" customHeight="true" outlineLevel="0" collapsed="false">
      <c r="A1" s="7" t="s">
        <v>245</v>
      </c>
    </row>
    <row r="2" customFormat="false" ht="17.25" hidden="false" customHeight="true" outlineLevel="0" collapsed="false">
      <c r="A2" s="8" t="s">
        <v>26</v>
      </c>
    </row>
    <row r="3" customFormat="false" ht="30" hidden="false" customHeight="true" outlineLevel="0" collapsed="false">
      <c r="A3" s="3" t="s">
        <v>246</v>
      </c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9" t="s">
        <v>43</v>
      </c>
      <c r="C4" s="9" t="s">
        <v>44</v>
      </c>
      <c r="E4" s="9" t="s">
        <v>45</v>
      </c>
    </row>
    <row r="6" customFormat="false" ht="31.5" hidden="false" customHeight="true" outlineLevel="0" collapsed="false">
      <c r="A6" s="12" t="s">
        <v>247</v>
      </c>
      <c r="B6" s="12" t="s">
        <v>248</v>
      </c>
      <c r="C6" s="12" t="s">
        <v>249</v>
      </c>
      <c r="D6" s="12" t="s">
        <v>250</v>
      </c>
      <c r="E6" s="12" t="s">
        <v>251</v>
      </c>
      <c r="F6" s="12" t="s">
        <v>252</v>
      </c>
      <c r="G6" s="12" t="s">
        <v>253</v>
      </c>
      <c r="H6" s="12" t="s">
        <v>254</v>
      </c>
    </row>
    <row r="7" customFormat="false" ht="27.75" hidden="false" customHeight="true" outlineLevel="0" collapsed="false">
      <c r="A7" s="24" t="s">
        <v>255</v>
      </c>
      <c r="B7" s="24" t="s">
        <v>256</v>
      </c>
      <c r="C7" s="24" t="s">
        <v>199</v>
      </c>
      <c r="D7" s="24" t="s">
        <v>257</v>
      </c>
      <c r="E7" s="24" t="s">
        <v>258</v>
      </c>
      <c r="F7" s="24" t="s">
        <v>259</v>
      </c>
      <c r="G7" s="24" t="s">
        <v>260</v>
      </c>
      <c r="H7" s="24" t="s">
        <v>261</v>
      </c>
    </row>
    <row r="8" customFormat="false" ht="15" hidden="false" customHeight="true" outlineLevel="0" collapsed="false">
      <c r="A8" s="16"/>
      <c r="B8" s="16"/>
      <c r="C8" s="16"/>
      <c r="D8" s="16"/>
      <c r="E8" s="16"/>
      <c r="F8" s="16"/>
      <c r="G8" s="16"/>
      <c r="H8" s="16"/>
    </row>
    <row r="9" customFormat="false" ht="15" hidden="false" customHeight="true" outlineLevel="0" collapsed="false">
      <c r="A9" s="16"/>
      <c r="B9" s="16"/>
      <c r="C9" s="16"/>
      <c r="D9" s="16"/>
      <c r="E9" s="16"/>
      <c r="F9" s="16"/>
      <c r="G9" s="16"/>
      <c r="H9" s="16"/>
    </row>
    <row r="10" customFormat="false" ht="15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</row>
    <row r="11" customFormat="false" ht="15" hidden="false" customHeight="true" outlineLevel="0" collapsed="false">
      <c r="A11" s="16"/>
      <c r="B11" s="16"/>
      <c r="C11" s="16"/>
      <c r="D11" s="16"/>
      <c r="E11" s="16"/>
      <c r="F11" s="16"/>
      <c r="G11" s="16"/>
      <c r="H11" s="16"/>
    </row>
    <row r="12" customFormat="false" ht="15" hidden="false" customHeight="true" outlineLevel="0" collapsed="false">
      <c r="A12" s="16"/>
      <c r="B12" s="16"/>
      <c r="C12" s="16"/>
      <c r="D12" s="16"/>
      <c r="E12" s="16"/>
      <c r="F12" s="16"/>
      <c r="G12" s="16"/>
      <c r="H12" s="16"/>
    </row>
    <row r="13" customFormat="false" ht="15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</row>
    <row r="14" customFormat="false" ht="15" hidden="false" customHeight="true" outlineLevel="0" collapsed="false">
      <c r="A14" s="16"/>
      <c r="B14" s="16"/>
      <c r="C14" s="16"/>
      <c r="D14" s="16"/>
      <c r="E14" s="16"/>
      <c r="F14" s="16"/>
      <c r="G14" s="16"/>
      <c r="H14" s="16"/>
    </row>
    <row r="15" customFormat="false" ht="15" hidden="false" customHeight="true" outlineLevel="0" collapsed="false">
      <c r="A15" s="16"/>
      <c r="B15" s="16"/>
      <c r="C15" s="16"/>
      <c r="D15" s="16"/>
      <c r="E15" s="16"/>
      <c r="F15" s="16"/>
      <c r="G15" s="16"/>
      <c r="H15" s="16"/>
    </row>
    <row r="16" customFormat="false" ht="15" hidden="false" customHeight="true" outlineLevel="0" collapsed="false">
      <c r="A16" s="16"/>
      <c r="B16" s="16"/>
      <c r="C16" s="16"/>
      <c r="D16" s="16"/>
      <c r="E16" s="16"/>
      <c r="F16" s="16"/>
      <c r="G16" s="16"/>
      <c r="H16" s="16"/>
    </row>
    <row r="17" customFormat="false" ht="15" hidden="false" customHeight="true" outlineLevel="0" collapsed="false">
      <c r="A17" s="16"/>
      <c r="B17" s="16"/>
      <c r="C17" s="16"/>
      <c r="D17" s="16"/>
      <c r="E17" s="16"/>
      <c r="F17" s="16"/>
      <c r="G17" s="16"/>
      <c r="H17" s="16"/>
    </row>
    <row r="18" customFormat="false" ht="15" hidden="false" customHeight="true" outlineLevel="0" collapsed="false">
      <c r="A18" s="16"/>
      <c r="B18" s="16"/>
      <c r="C18" s="16"/>
      <c r="D18" s="16"/>
      <c r="E18" s="16"/>
      <c r="F18" s="16"/>
      <c r="G18" s="16"/>
      <c r="H18" s="16"/>
    </row>
    <row r="19" customFormat="false" ht="15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</row>
    <row r="20" customFormat="false" ht="15" hidden="false" customHeight="true" outlineLevel="0" collapsed="false">
      <c r="A20" s="16"/>
      <c r="B20" s="16"/>
      <c r="C20" s="16"/>
      <c r="D20" s="16"/>
      <c r="E20" s="16"/>
      <c r="F20" s="16"/>
      <c r="G20" s="16"/>
      <c r="H20" s="16"/>
    </row>
    <row r="21" customFormat="false" ht="15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</row>
    <row r="22" customFormat="false" ht="15" hidden="false" customHeight="true" outlineLevel="0" collapsed="false">
      <c r="A22" s="16"/>
      <c r="B22" s="16"/>
      <c r="C22" s="16"/>
      <c r="D22" s="16"/>
      <c r="E22" s="16"/>
      <c r="F22" s="16"/>
      <c r="G22" s="16"/>
      <c r="H22" s="16"/>
    </row>
  </sheetData>
  <mergeCells count="1">
    <mergeCell ref="A3:H3"/>
  </mergeCells>
  <dataValidations count="3">
    <dataValidation allowBlank="true" errorStyle="stop" operator="between" showDropDown="false" showErrorMessage="false" showInputMessage="false" sqref="B7:B22" type="list">
      <formula1>"Hecho,Dimensión,Desconectada,Excepciones"</formula1>
      <formula2>0</formula2>
    </dataValidation>
    <dataValidation allowBlank="true" errorStyle="stop" operator="between" showDropDown="false" showErrorMessage="false" showInputMessage="false" sqref="F7:F22" type="list">
      <formula1>"Varios a uno,Uno a uno,Varios a varios"</formula1>
      <formula2>0</formula2>
    </dataValidation>
    <dataValidation allowBlank="true" errorStyle="stop" operator="between" showDropDown="false" showErrorMessage="false" showInputMessage="false" sqref="G7:G22" type="list">
      <formula1>"Única,Ambas"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5" min="4" style="1" width="14"/>
    <col collapsed="false" customWidth="true" hidden="false" outlineLevel="0" max="6" min="6" style="1" width="11"/>
    <col collapsed="false" customWidth="true" hidden="false" outlineLevel="0" max="7" min="7" style="1" width="34"/>
  </cols>
  <sheetData>
    <row r="1" customFormat="false" ht="15" hidden="false" customHeight="true" outlineLevel="0" collapsed="false">
      <c r="A1" s="7" t="s">
        <v>262</v>
      </c>
    </row>
    <row r="2" customFormat="false" ht="17.25" hidden="false" customHeight="true" outlineLevel="0" collapsed="false">
      <c r="A2" s="8" t="s">
        <v>29</v>
      </c>
    </row>
    <row r="3" customFormat="false" ht="30" hidden="false" customHeight="true" outlineLevel="0" collapsed="false">
      <c r="A3" s="3" t="s">
        <v>263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9" t="s">
        <v>43</v>
      </c>
      <c r="C4" s="9" t="s">
        <v>44</v>
      </c>
      <c r="E4" s="9" t="s">
        <v>45</v>
      </c>
    </row>
    <row r="6" customFormat="false" ht="31.5" hidden="false" customHeight="true" outlineLevel="0" collapsed="false">
      <c r="A6" s="12" t="s">
        <v>264</v>
      </c>
      <c r="B6" s="12" t="s">
        <v>265</v>
      </c>
      <c r="C6" s="12" t="s">
        <v>266</v>
      </c>
      <c r="D6" s="12" t="s">
        <v>267</v>
      </c>
      <c r="E6" s="12" t="s">
        <v>268</v>
      </c>
      <c r="F6" s="12" t="s">
        <v>269</v>
      </c>
      <c r="G6" s="12" t="s">
        <v>270</v>
      </c>
    </row>
    <row r="7" customFormat="false" ht="15" hidden="false" customHeight="true" outlineLevel="0" collapsed="false">
      <c r="A7" s="24" t="s">
        <v>76</v>
      </c>
      <c r="B7" s="24" t="s">
        <v>76</v>
      </c>
      <c r="C7" s="24" t="s">
        <v>271</v>
      </c>
      <c r="D7" s="27" t="n">
        <v>0.777</v>
      </c>
      <c r="E7" s="27" t="n">
        <v>0.777</v>
      </c>
      <c r="F7" s="24" t="str">
        <f aca="false">IF(OR(D7="",E7=""),"",IF(ABS(D7-E7)&lt;0.0005,"Sí","No"))</f>
        <v>Sí</v>
      </c>
      <c r="G7" s="24"/>
    </row>
    <row r="8" customFormat="false" ht="15" hidden="false" customHeight="true" outlineLevel="0" collapsed="false">
      <c r="A8" s="16"/>
      <c r="B8" s="16"/>
      <c r="C8" s="16"/>
      <c r="D8" s="17"/>
      <c r="E8" s="17"/>
      <c r="F8" s="16" t="str">
        <f aca="false">IF(OR(D8="",E8=""),"",IF(ABS(D8-E8)&lt;0.0005,"Sí","No"))</f>
        <v/>
      </c>
      <c r="G8" s="16"/>
    </row>
    <row r="9" customFormat="false" ht="15" hidden="false" customHeight="true" outlineLevel="0" collapsed="false">
      <c r="A9" s="16"/>
      <c r="B9" s="16"/>
      <c r="C9" s="16"/>
      <c r="D9" s="17"/>
      <c r="E9" s="17"/>
      <c r="F9" s="16" t="str">
        <f aca="false">IF(OR(D9="",E9=""),"",IF(ABS(D9-E9)&lt;0.0005,"Sí","No"))</f>
        <v/>
      </c>
      <c r="G9" s="16"/>
    </row>
    <row r="10" customFormat="false" ht="15" hidden="false" customHeight="true" outlineLevel="0" collapsed="false">
      <c r="A10" s="16"/>
      <c r="B10" s="16"/>
      <c r="C10" s="16"/>
      <c r="D10" s="17"/>
      <c r="E10" s="17"/>
      <c r="F10" s="16" t="str">
        <f aca="false">IF(OR(D10="",E10=""),"",IF(ABS(D10-E10)&lt;0.0005,"Sí","No"))</f>
        <v/>
      </c>
      <c r="G10" s="16"/>
    </row>
    <row r="11" customFormat="false" ht="15" hidden="false" customHeight="true" outlineLevel="0" collapsed="false">
      <c r="A11" s="16"/>
      <c r="B11" s="16"/>
      <c r="C11" s="16"/>
      <c r="D11" s="17"/>
      <c r="E11" s="17"/>
      <c r="F11" s="16" t="str">
        <f aca="false">IF(OR(D11="",E11=""),"",IF(ABS(D11-E11)&lt;0.0005,"Sí","No"))</f>
        <v/>
      </c>
      <c r="G11" s="16"/>
    </row>
    <row r="12" customFormat="false" ht="15" hidden="false" customHeight="true" outlineLevel="0" collapsed="false">
      <c r="A12" s="16"/>
      <c r="B12" s="16"/>
      <c r="C12" s="16"/>
      <c r="D12" s="17"/>
      <c r="E12" s="17"/>
      <c r="F12" s="16" t="str">
        <f aca="false">IF(OR(D12="",E12=""),"",IF(ABS(D12-E12)&lt;0.0005,"Sí","No"))</f>
        <v/>
      </c>
      <c r="G12" s="16"/>
    </row>
    <row r="13" customFormat="false" ht="15" hidden="false" customHeight="true" outlineLevel="0" collapsed="false">
      <c r="A13" s="16"/>
      <c r="B13" s="16"/>
      <c r="C13" s="16"/>
      <c r="D13" s="17"/>
      <c r="E13" s="17"/>
      <c r="F13" s="16" t="str">
        <f aca="false">IF(OR(D13="",E13=""),"",IF(ABS(D13-E13)&lt;0.0005,"Sí","No"))</f>
        <v/>
      </c>
      <c r="G13" s="16"/>
    </row>
    <row r="14" customFormat="false" ht="15" hidden="false" customHeight="true" outlineLevel="0" collapsed="false">
      <c r="A14" s="16"/>
      <c r="B14" s="16"/>
      <c r="C14" s="16"/>
      <c r="D14" s="17"/>
      <c r="E14" s="17"/>
      <c r="F14" s="16" t="str">
        <f aca="false">IF(OR(D14="",E14=""),"",IF(ABS(D14-E14)&lt;0.0005,"Sí","No"))</f>
        <v/>
      </c>
      <c r="G14" s="16"/>
    </row>
    <row r="15" customFormat="false" ht="15" hidden="false" customHeight="true" outlineLevel="0" collapsed="false">
      <c r="A15" s="16"/>
      <c r="B15" s="16"/>
      <c r="C15" s="16"/>
      <c r="D15" s="17"/>
      <c r="E15" s="17"/>
      <c r="F15" s="16" t="str">
        <f aca="false">IF(OR(D15="",E15=""),"",IF(ABS(D15-E15)&lt;0.0005,"Sí","No"))</f>
        <v/>
      </c>
      <c r="G15" s="16"/>
    </row>
    <row r="16" customFormat="false" ht="15" hidden="false" customHeight="true" outlineLevel="0" collapsed="false">
      <c r="A16" s="16"/>
      <c r="B16" s="16"/>
      <c r="C16" s="16"/>
      <c r="D16" s="17"/>
      <c r="E16" s="17"/>
      <c r="F16" s="16" t="str">
        <f aca="false">IF(OR(D16="",E16=""),"",IF(ABS(D16-E16)&lt;0.0005,"Sí","No"))</f>
        <v/>
      </c>
      <c r="G16" s="16"/>
    </row>
    <row r="17" customFormat="false" ht="15" hidden="false" customHeight="true" outlineLevel="0" collapsed="false">
      <c r="A17" s="16"/>
      <c r="B17" s="16"/>
      <c r="C17" s="16"/>
      <c r="D17" s="17"/>
      <c r="E17" s="17"/>
      <c r="F17" s="16" t="str">
        <f aca="false">IF(OR(D17="",E17=""),"",IF(ABS(D17-E17)&lt;0.0005,"Sí","No"))</f>
        <v/>
      </c>
      <c r="G17" s="16"/>
    </row>
    <row r="18" customFormat="false" ht="15" hidden="false" customHeight="true" outlineLevel="0" collapsed="false">
      <c r="A18" s="16"/>
      <c r="B18" s="16"/>
      <c r="C18" s="16"/>
      <c r="D18" s="17"/>
      <c r="E18" s="17"/>
      <c r="F18" s="16" t="str">
        <f aca="false">IF(OR(D18="",E18=""),"",IF(ABS(D18-E18)&lt;0.0005,"Sí","No"))</f>
        <v/>
      </c>
      <c r="G18" s="16"/>
    </row>
    <row r="19" customFormat="false" ht="15" hidden="false" customHeight="true" outlineLevel="0" collapsed="false">
      <c r="A19" s="16"/>
      <c r="B19" s="16"/>
      <c r="C19" s="16"/>
      <c r="D19" s="17"/>
      <c r="E19" s="17"/>
      <c r="F19" s="16" t="str">
        <f aca="false">IF(OR(D19="",E19=""),"",IF(ABS(D19-E19)&lt;0.0005,"Sí","No"))</f>
        <v/>
      </c>
      <c r="G19" s="16"/>
    </row>
    <row r="20" customFormat="false" ht="15" hidden="false" customHeight="true" outlineLevel="0" collapsed="false">
      <c r="A20" s="16"/>
      <c r="B20" s="16"/>
      <c r="C20" s="16"/>
      <c r="D20" s="17"/>
      <c r="E20" s="17"/>
      <c r="F20" s="16" t="str">
        <f aca="false">IF(OR(D20="",E20=""),"",IF(ABS(D20-E20)&lt;0.0005,"Sí","No"))</f>
        <v/>
      </c>
      <c r="G20" s="16"/>
    </row>
    <row r="21" customFormat="false" ht="15" hidden="false" customHeight="true" outlineLevel="0" collapsed="false">
      <c r="A21" s="16"/>
      <c r="B21" s="16"/>
      <c r="C21" s="16"/>
      <c r="D21" s="17"/>
      <c r="E21" s="17"/>
      <c r="F21" s="16" t="str">
        <f aca="false">IF(OR(D21="",E21=""),"",IF(ABS(D21-E21)&lt;0.0005,"Sí","No"))</f>
        <v/>
      </c>
      <c r="G21" s="16"/>
    </row>
    <row r="22" customFormat="false" ht="15" hidden="false" customHeight="true" outlineLevel="0" collapsed="false">
      <c r="A22" s="16"/>
      <c r="B22" s="16"/>
      <c r="C22" s="16"/>
      <c r="D22" s="17"/>
      <c r="E22" s="17"/>
      <c r="F22" s="16" t="str">
        <f aca="false">IF(OR(D22="",E22=""),"",IF(ABS(D22-E22)&lt;0.0005,"Sí","No"))</f>
        <v/>
      </c>
      <c r="G22" s="16"/>
    </row>
  </sheetData>
  <mergeCells count="1"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6" min="3" style="1" width="10"/>
    <col collapsed="false" customWidth="true" hidden="false" outlineLevel="0" max="8" min="7" style="1" width="28"/>
  </cols>
  <sheetData>
    <row r="1" customFormat="false" ht="15" hidden="false" customHeight="true" outlineLevel="0" collapsed="false">
      <c r="A1" s="7" t="s">
        <v>272</v>
      </c>
    </row>
    <row r="2" customFormat="false" ht="17.25" hidden="false" customHeight="true" outlineLevel="0" collapsed="false">
      <c r="A2" s="8" t="s">
        <v>32</v>
      </c>
    </row>
    <row r="3" customFormat="false" ht="30" hidden="false" customHeight="true" outlineLevel="0" collapsed="false">
      <c r="A3" s="3" t="s">
        <v>273</v>
      </c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9" t="s">
        <v>43</v>
      </c>
      <c r="C4" s="9" t="s">
        <v>44</v>
      </c>
      <c r="E4" s="9" t="s">
        <v>45</v>
      </c>
    </row>
    <row r="6" customFormat="false" ht="31.5" hidden="false" customHeight="true" outlineLevel="0" collapsed="false">
      <c r="A6" s="12" t="s">
        <v>274</v>
      </c>
      <c r="B6" s="12" t="s">
        <v>275</v>
      </c>
      <c r="C6" s="12" t="s">
        <v>276</v>
      </c>
      <c r="D6" s="12" t="s">
        <v>277</v>
      </c>
      <c r="E6" s="12" t="s">
        <v>278</v>
      </c>
      <c r="F6" s="12" t="s">
        <v>279</v>
      </c>
      <c r="G6" s="12" t="s">
        <v>280</v>
      </c>
      <c r="H6" s="12" t="s">
        <v>281</v>
      </c>
    </row>
    <row r="7" customFormat="false" ht="15" hidden="false" customHeight="true" outlineLevel="0" collapsed="false">
      <c r="A7" s="24" t="s">
        <v>282</v>
      </c>
      <c r="B7" s="24" t="s">
        <v>283</v>
      </c>
      <c r="C7" s="24" t="s">
        <v>80</v>
      </c>
      <c r="D7" s="27" t="n">
        <v>0.959</v>
      </c>
      <c r="E7" s="27" t="n">
        <v>0.969</v>
      </c>
      <c r="F7" s="27" t="n">
        <v>0.979</v>
      </c>
      <c r="G7" s="24" t="s">
        <v>284</v>
      </c>
      <c r="H7" s="24" t="s">
        <v>285</v>
      </c>
    </row>
    <row r="8" customFormat="false" ht="15" hidden="false" customHeight="true" outlineLevel="0" collapsed="false">
      <c r="A8" s="16"/>
      <c r="B8" s="16"/>
      <c r="C8" s="16"/>
      <c r="D8" s="17"/>
      <c r="E8" s="17"/>
      <c r="F8" s="17"/>
      <c r="G8" s="16"/>
      <c r="H8" s="16"/>
    </row>
    <row r="9" customFormat="false" ht="15" hidden="false" customHeight="true" outlineLevel="0" collapsed="false">
      <c r="A9" s="16"/>
      <c r="B9" s="16"/>
      <c r="C9" s="16"/>
      <c r="D9" s="17"/>
      <c r="E9" s="17"/>
      <c r="F9" s="17"/>
      <c r="G9" s="16"/>
      <c r="H9" s="16"/>
    </row>
    <row r="10" customFormat="false" ht="15" hidden="false" customHeight="true" outlineLevel="0" collapsed="false">
      <c r="A10" s="16"/>
      <c r="B10" s="16"/>
      <c r="C10" s="16"/>
      <c r="D10" s="17"/>
      <c r="E10" s="17"/>
      <c r="F10" s="17"/>
      <c r="G10" s="16"/>
      <c r="H10" s="16"/>
    </row>
    <row r="11" customFormat="false" ht="15" hidden="false" customHeight="true" outlineLevel="0" collapsed="false">
      <c r="A11" s="16"/>
      <c r="B11" s="16"/>
      <c r="C11" s="16"/>
      <c r="D11" s="17"/>
      <c r="E11" s="17"/>
      <c r="F11" s="17"/>
      <c r="G11" s="16"/>
      <c r="H11" s="16"/>
    </row>
    <row r="12" customFormat="false" ht="15" hidden="false" customHeight="true" outlineLevel="0" collapsed="false">
      <c r="A12" s="16"/>
      <c r="B12" s="16"/>
      <c r="C12" s="16"/>
      <c r="D12" s="17"/>
      <c r="E12" s="17"/>
      <c r="F12" s="17"/>
      <c r="G12" s="16"/>
      <c r="H12" s="16"/>
    </row>
    <row r="13" customFormat="false" ht="15" hidden="false" customHeight="true" outlineLevel="0" collapsed="false">
      <c r="A13" s="16"/>
      <c r="B13" s="16"/>
      <c r="C13" s="16"/>
      <c r="D13" s="17"/>
      <c r="E13" s="17"/>
      <c r="F13" s="17"/>
      <c r="G13" s="16"/>
      <c r="H13" s="16"/>
    </row>
    <row r="14" customFormat="false" ht="15" hidden="false" customHeight="true" outlineLevel="0" collapsed="false">
      <c r="A14" s="16"/>
      <c r="B14" s="16"/>
      <c r="C14" s="16"/>
      <c r="D14" s="17"/>
      <c r="E14" s="17"/>
      <c r="F14" s="17"/>
      <c r="G14" s="16"/>
      <c r="H14" s="16"/>
    </row>
    <row r="15" customFormat="false" ht="15" hidden="false" customHeight="true" outlineLevel="0" collapsed="false">
      <c r="A15" s="16"/>
      <c r="B15" s="16"/>
      <c r="C15" s="16"/>
      <c r="D15" s="17"/>
      <c r="E15" s="17"/>
      <c r="F15" s="17"/>
      <c r="G15" s="16"/>
      <c r="H15" s="16"/>
    </row>
    <row r="16" customFormat="false" ht="15" hidden="false" customHeight="true" outlineLevel="0" collapsed="false">
      <c r="A16" s="16"/>
      <c r="B16" s="16"/>
      <c r="C16" s="16"/>
      <c r="D16" s="17"/>
      <c r="E16" s="17"/>
      <c r="F16" s="17"/>
      <c r="G16" s="16"/>
      <c r="H16" s="16"/>
    </row>
    <row r="17" customFormat="false" ht="15" hidden="false" customHeight="true" outlineLevel="0" collapsed="false">
      <c r="A17" s="16"/>
      <c r="B17" s="16"/>
      <c r="C17" s="16"/>
      <c r="D17" s="17"/>
      <c r="E17" s="17"/>
      <c r="F17" s="17"/>
      <c r="G17" s="16"/>
      <c r="H17" s="16"/>
    </row>
    <row r="18" customFormat="false" ht="15" hidden="false" customHeight="true" outlineLevel="0" collapsed="false">
      <c r="A18" s="16"/>
      <c r="B18" s="16"/>
      <c r="C18" s="16"/>
      <c r="D18" s="17"/>
      <c r="E18" s="17"/>
      <c r="F18" s="17"/>
      <c r="G18" s="16"/>
      <c r="H18" s="16"/>
    </row>
    <row r="19" customFormat="false" ht="15" hidden="false" customHeight="true" outlineLevel="0" collapsed="false">
      <c r="A19" s="16"/>
      <c r="B19" s="16"/>
      <c r="C19" s="16"/>
      <c r="D19" s="17"/>
      <c r="E19" s="17"/>
      <c r="F19" s="17"/>
      <c r="G19" s="16"/>
      <c r="H19" s="16"/>
    </row>
    <row r="20" customFormat="false" ht="15" hidden="false" customHeight="true" outlineLevel="0" collapsed="false">
      <c r="A20" s="16"/>
      <c r="B20" s="16"/>
      <c r="C20" s="16"/>
      <c r="D20" s="17"/>
      <c r="E20" s="17"/>
      <c r="F20" s="17"/>
      <c r="G20" s="16"/>
      <c r="H20" s="16"/>
    </row>
    <row r="21" customFormat="false" ht="15" hidden="false" customHeight="true" outlineLevel="0" collapsed="false">
      <c r="A21" s="16"/>
      <c r="B21" s="16"/>
      <c r="C21" s="16"/>
      <c r="D21" s="17"/>
      <c r="E21" s="17"/>
      <c r="F21" s="17"/>
      <c r="G21" s="16"/>
      <c r="H21" s="16"/>
    </row>
    <row r="22" customFormat="false" ht="15" hidden="false" customHeight="true" outlineLevel="0" collapsed="false">
      <c r="A22" s="16"/>
      <c r="B22" s="16"/>
      <c r="C22" s="16"/>
      <c r="D22" s="17"/>
      <c r="E22" s="17"/>
      <c r="F22" s="17"/>
      <c r="G22" s="16"/>
      <c r="H22" s="16"/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30"/>
  </cols>
  <sheetData>
    <row r="1" customFormat="false" ht="15" hidden="false" customHeight="true" outlineLevel="0" collapsed="false">
      <c r="A1" s="7" t="s">
        <v>286</v>
      </c>
    </row>
    <row r="2" customFormat="false" ht="17.25" hidden="false" customHeight="true" outlineLevel="0" collapsed="false">
      <c r="A2" s="8" t="s">
        <v>35</v>
      </c>
    </row>
    <row r="3" customFormat="false" ht="30" hidden="false" customHeight="true" outlineLevel="0" collapsed="false">
      <c r="A3" s="3" t="s">
        <v>287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9" t="s">
        <v>43</v>
      </c>
      <c r="C4" s="9" t="s">
        <v>44</v>
      </c>
      <c r="E4" s="9" t="s">
        <v>45</v>
      </c>
    </row>
    <row r="6" customFormat="false" ht="31.5" hidden="false" customHeight="true" outlineLevel="0" collapsed="false">
      <c r="A6" s="12" t="s">
        <v>288</v>
      </c>
      <c r="B6" s="12" t="s">
        <v>289</v>
      </c>
      <c r="C6" s="12" t="s">
        <v>290</v>
      </c>
      <c r="D6" s="12" t="s">
        <v>291</v>
      </c>
      <c r="E6" s="12" t="s">
        <v>292</v>
      </c>
      <c r="F6" s="12" t="s">
        <v>94</v>
      </c>
      <c r="G6" s="12" t="s">
        <v>293</v>
      </c>
    </row>
    <row r="7" customFormat="false" ht="15" hidden="false" customHeight="true" outlineLevel="0" collapsed="false">
      <c r="A7" s="24" t="s">
        <v>294</v>
      </c>
      <c r="B7" s="24" t="s">
        <v>295</v>
      </c>
      <c r="C7" s="24" t="s">
        <v>296</v>
      </c>
      <c r="D7" s="25" t="n">
        <v>645</v>
      </c>
      <c r="E7" s="25" t="n">
        <v>645</v>
      </c>
      <c r="F7" s="24" t="str">
        <f aca="false">IF(OR(D7="",E7=""),"",IF(D7=E7,"Pasa","Falla"))</f>
        <v>Pasa</v>
      </c>
      <c r="G7" s="24"/>
    </row>
    <row r="8" customFormat="false" ht="15" hidden="false" customHeight="true" outlineLevel="0" collapsed="false">
      <c r="A8" s="16"/>
      <c r="B8" s="16"/>
      <c r="C8" s="16"/>
      <c r="D8" s="26"/>
      <c r="E8" s="26"/>
      <c r="F8" s="16" t="str">
        <f aca="false">IF(OR(D8="",E8=""),"",IF(D8=E8,"Pasa","Falla"))</f>
        <v/>
      </c>
      <c r="G8" s="16"/>
    </row>
    <row r="9" customFormat="false" ht="15" hidden="false" customHeight="true" outlineLevel="0" collapsed="false">
      <c r="A9" s="16"/>
      <c r="B9" s="16"/>
      <c r="C9" s="16"/>
      <c r="D9" s="26"/>
      <c r="E9" s="26"/>
      <c r="F9" s="16" t="str">
        <f aca="false">IF(OR(D9="",E9=""),"",IF(D9=E9,"Pasa","Falla"))</f>
        <v/>
      </c>
      <c r="G9" s="16"/>
    </row>
    <row r="10" customFormat="false" ht="15" hidden="false" customHeight="true" outlineLevel="0" collapsed="false">
      <c r="A10" s="16"/>
      <c r="B10" s="16"/>
      <c r="C10" s="16"/>
      <c r="D10" s="26"/>
      <c r="E10" s="26"/>
      <c r="F10" s="16" t="str">
        <f aca="false">IF(OR(D10="",E10=""),"",IF(D10=E10,"Pasa","Falla"))</f>
        <v/>
      </c>
      <c r="G10" s="16"/>
    </row>
    <row r="11" customFormat="false" ht="15" hidden="false" customHeight="true" outlineLevel="0" collapsed="false">
      <c r="A11" s="16"/>
      <c r="B11" s="16"/>
      <c r="C11" s="16"/>
      <c r="D11" s="26"/>
      <c r="E11" s="26"/>
      <c r="F11" s="16" t="str">
        <f aca="false">IF(OR(D11="",E11=""),"",IF(D11=E11,"Pasa","Falla"))</f>
        <v/>
      </c>
      <c r="G11" s="16"/>
    </row>
    <row r="12" customFormat="false" ht="15" hidden="false" customHeight="true" outlineLevel="0" collapsed="false">
      <c r="A12" s="16"/>
      <c r="B12" s="16"/>
      <c r="C12" s="16"/>
      <c r="D12" s="26"/>
      <c r="E12" s="26"/>
      <c r="F12" s="16" t="str">
        <f aca="false">IF(OR(D12="",E12=""),"",IF(D12=E12,"Pasa","Falla"))</f>
        <v/>
      </c>
      <c r="G12" s="16"/>
    </row>
    <row r="13" customFormat="false" ht="15" hidden="false" customHeight="true" outlineLevel="0" collapsed="false">
      <c r="A13" s="16"/>
      <c r="B13" s="16"/>
      <c r="C13" s="16"/>
      <c r="D13" s="26"/>
      <c r="E13" s="26"/>
      <c r="F13" s="16" t="str">
        <f aca="false">IF(OR(D13="",E13=""),"",IF(D13=E13,"Pasa","Falla"))</f>
        <v/>
      </c>
      <c r="G13" s="16"/>
    </row>
    <row r="14" customFormat="false" ht="15" hidden="false" customHeight="true" outlineLevel="0" collapsed="false">
      <c r="A14" s="16"/>
      <c r="B14" s="16"/>
      <c r="C14" s="16"/>
      <c r="D14" s="26"/>
      <c r="E14" s="26"/>
      <c r="F14" s="16" t="str">
        <f aca="false">IF(OR(D14="",E14=""),"",IF(D14=E14,"Pasa","Falla"))</f>
        <v/>
      </c>
      <c r="G14" s="16"/>
    </row>
    <row r="15" customFormat="false" ht="15" hidden="false" customHeight="true" outlineLevel="0" collapsed="false">
      <c r="A15" s="16"/>
      <c r="B15" s="16"/>
      <c r="C15" s="16"/>
      <c r="D15" s="26"/>
      <c r="E15" s="26"/>
      <c r="F15" s="16" t="str">
        <f aca="false">IF(OR(D15="",E15=""),"",IF(D15=E15,"Pasa","Falla"))</f>
        <v/>
      </c>
      <c r="G15" s="16"/>
    </row>
    <row r="16" customFormat="false" ht="15" hidden="false" customHeight="true" outlineLevel="0" collapsed="false">
      <c r="A16" s="16"/>
      <c r="B16" s="16"/>
      <c r="C16" s="16"/>
      <c r="D16" s="26"/>
      <c r="E16" s="26"/>
      <c r="F16" s="16" t="str">
        <f aca="false">IF(OR(D16="",E16=""),"",IF(D16=E16,"Pasa","Falla"))</f>
        <v/>
      </c>
      <c r="G16" s="16"/>
    </row>
    <row r="17" customFormat="false" ht="15" hidden="false" customHeight="true" outlineLevel="0" collapsed="false">
      <c r="A17" s="16"/>
      <c r="B17" s="16"/>
      <c r="C17" s="16"/>
      <c r="D17" s="26"/>
      <c r="E17" s="26"/>
      <c r="F17" s="16" t="str">
        <f aca="false">IF(OR(D17="",E17=""),"",IF(D17=E17,"Pasa","Falla"))</f>
        <v/>
      </c>
      <c r="G17" s="16"/>
    </row>
    <row r="18" customFormat="false" ht="15" hidden="false" customHeight="true" outlineLevel="0" collapsed="false">
      <c r="A18" s="16"/>
      <c r="B18" s="16"/>
      <c r="C18" s="16"/>
      <c r="D18" s="26"/>
      <c r="E18" s="26"/>
      <c r="F18" s="16" t="str">
        <f aca="false">IF(OR(D18="",E18=""),"",IF(D18=E18,"Pasa","Falla"))</f>
        <v/>
      </c>
      <c r="G18" s="16"/>
    </row>
    <row r="19" customFormat="false" ht="15" hidden="false" customHeight="true" outlineLevel="0" collapsed="false">
      <c r="A19" s="16"/>
      <c r="B19" s="16"/>
      <c r="C19" s="16"/>
      <c r="D19" s="26"/>
      <c r="E19" s="26"/>
      <c r="F19" s="16" t="str">
        <f aca="false">IF(OR(D19="",E19=""),"",IF(D19=E19,"Pasa","Falla"))</f>
        <v/>
      </c>
      <c r="G19" s="16"/>
    </row>
    <row r="20" customFormat="false" ht="15" hidden="false" customHeight="true" outlineLevel="0" collapsed="false">
      <c r="A20" s="16"/>
      <c r="B20" s="16"/>
      <c r="C20" s="16"/>
      <c r="D20" s="26"/>
      <c r="E20" s="26"/>
      <c r="F20" s="16" t="str">
        <f aca="false">IF(OR(D20="",E20=""),"",IF(D20=E20,"Pasa","Falla"))</f>
        <v/>
      </c>
      <c r="G20" s="16"/>
    </row>
    <row r="21" customFormat="false" ht="15" hidden="false" customHeight="true" outlineLevel="0" collapsed="false">
      <c r="A21" s="16"/>
      <c r="B21" s="16"/>
      <c r="C21" s="16"/>
      <c r="D21" s="26"/>
      <c r="E21" s="26"/>
      <c r="F21" s="16" t="str">
        <f aca="false">IF(OR(D21="",E21=""),"",IF(D21=E21,"Pasa","Falla"))</f>
        <v/>
      </c>
      <c r="G21" s="16"/>
    </row>
    <row r="22" customFormat="false" ht="15" hidden="false" customHeight="true" outlineLevel="0" collapsed="false">
      <c r="A22" s="16"/>
      <c r="B22" s="16"/>
      <c r="C22" s="16"/>
      <c r="D22" s="26"/>
      <c r="E22" s="26"/>
      <c r="F22" s="16" t="str">
        <f aca="false">IF(OR(D22="",E22=""),"",IF(D22=E22,"Pasa","Falla"))</f>
        <v/>
      </c>
      <c r="G22" s="16"/>
    </row>
  </sheetData>
  <mergeCells count="1"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22"/>
    <col collapsed="false" customWidth="true" hidden="false" outlineLevel="0" max="4" min="4" style="1" width="32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7" min="7" style="1" width="14"/>
  </cols>
  <sheetData>
    <row r="1" customFormat="false" ht="15" hidden="false" customHeight="true" outlineLevel="0" collapsed="false">
      <c r="A1" s="7" t="s">
        <v>297</v>
      </c>
    </row>
    <row r="2" customFormat="false" ht="17.25" hidden="false" customHeight="true" outlineLevel="0" collapsed="false">
      <c r="A2" s="8" t="s">
        <v>38</v>
      </c>
    </row>
    <row r="3" customFormat="false" ht="30" hidden="false" customHeight="true" outlineLevel="0" collapsed="false">
      <c r="A3" s="3" t="s">
        <v>298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9" t="s">
        <v>43</v>
      </c>
      <c r="C4" s="9" t="s">
        <v>44</v>
      </c>
      <c r="E4" s="9" t="s">
        <v>45</v>
      </c>
    </row>
    <row r="6" customFormat="false" ht="31.5" hidden="false" customHeight="true" outlineLevel="0" collapsed="false">
      <c r="A6" s="12" t="s">
        <v>299</v>
      </c>
      <c r="B6" s="12" t="s">
        <v>300</v>
      </c>
      <c r="C6" s="12" t="s">
        <v>301</v>
      </c>
      <c r="D6" s="12" t="s">
        <v>302</v>
      </c>
      <c r="E6" s="12" t="s">
        <v>303</v>
      </c>
      <c r="F6" s="12" t="s">
        <v>304</v>
      </c>
      <c r="G6" s="12" t="s">
        <v>305</v>
      </c>
    </row>
    <row r="7" customFormat="false" ht="27.75" hidden="false" customHeight="true" outlineLevel="0" collapsed="false">
      <c r="A7" s="25" t="n">
        <v>1</v>
      </c>
      <c r="B7" s="24" t="s">
        <v>306</v>
      </c>
      <c r="C7" s="24" t="s">
        <v>307</v>
      </c>
      <c r="D7" s="24" t="s">
        <v>308</v>
      </c>
      <c r="E7" s="24" t="s">
        <v>309</v>
      </c>
      <c r="F7" s="24" t="s">
        <v>310</v>
      </c>
      <c r="G7" s="24" t="s">
        <v>311</v>
      </c>
    </row>
    <row r="8" customFormat="false" ht="15" hidden="false" customHeight="true" outlineLevel="0" collapsed="false">
      <c r="A8" s="26"/>
      <c r="B8" s="16"/>
      <c r="C8" s="16"/>
      <c r="D8" s="16"/>
      <c r="E8" s="16"/>
      <c r="F8" s="16"/>
      <c r="G8" s="16"/>
    </row>
    <row r="9" customFormat="false" ht="15" hidden="false" customHeight="true" outlineLevel="0" collapsed="false">
      <c r="A9" s="26"/>
      <c r="B9" s="16"/>
      <c r="C9" s="16"/>
      <c r="D9" s="16"/>
      <c r="E9" s="16"/>
      <c r="F9" s="16"/>
      <c r="G9" s="16"/>
    </row>
    <row r="10" customFormat="false" ht="15" hidden="false" customHeight="true" outlineLevel="0" collapsed="false">
      <c r="A10" s="26"/>
      <c r="B10" s="16"/>
      <c r="C10" s="16"/>
      <c r="D10" s="16"/>
      <c r="E10" s="16"/>
      <c r="F10" s="16"/>
      <c r="G10" s="16"/>
    </row>
    <row r="11" customFormat="false" ht="15" hidden="false" customHeight="true" outlineLevel="0" collapsed="false">
      <c r="A11" s="26"/>
      <c r="B11" s="16"/>
      <c r="C11" s="16"/>
      <c r="D11" s="16"/>
      <c r="E11" s="16"/>
      <c r="F11" s="16"/>
      <c r="G11" s="16"/>
    </row>
    <row r="12" customFormat="false" ht="15" hidden="false" customHeight="true" outlineLevel="0" collapsed="false">
      <c r="A12" s="26"/>
      <c r="B12" s="16"/>
      <c r="C12" s="16"/>
      <c r="D12" s="16"/>
      <c r="E12" s="16"/>
      <c r="F12" s="16"/>
      <c r="G12" s="16"/>
    </row>
    <row r="13" customFormat="false" ht="15" hidden="false" customHeight="true" outlineLevel="0" collapsed="false">
      <c r="A13" s="26"/>
      <c r="B13" s="16"/>
      <c r="C13" s="16"/>
      <c r="D13" s="16"/>
      <c r="E13" s="16"/>
      <c r="F13" s="16"/>
      <c r="G13" s="16"/>
    </row>
    <row r="14" customFormat="false" ht="15" hidden="false" customHeight="true" outlineLevel="0" collapsed="false">
      <c r="A14" s="26"/>
      <c r="B14" s="16"/>
      <c r="C14" s="16"/>
      <c r="D14" s="16"/>
      <c r="E14" s="16"/>
      <c r="F14" s="16"/>
      <c r="G14" s="16"/>
    </row>
    <row r="15" customFormat="false" ht="15" hidden="false" customHeight="true" outlineLevel="0" collapsed="false">
      <c r="A15" s="26"/>
      <c r="B15" s="16"/>
      <c r="C15" s="16"/>
      <c r="D15" s="16"/>
      <c r="E15" s="16"/>
      <c r="F15" s="16"/>
      <c r="G15" s="16"/>
    </row>
    <row r="16" customFormat="false" ht="15" hidden="false" customHeight="true" outlineLevel="0" collapsed="false">
      <c r="A16" s="26"/>
      <c r="B16" s="16"/>
      <c r="C16" s="16"/>
      <c r="D16" s="16"/>
      <c r="E16" s="16"/>
      <c r="F16" s="16"/>
      <c r="G16" s="16"/>
    </row>
    <row r="17" customFormat="false" ht="15" hidden="false" customHeight="true" outlineLevel="0" collapsed="false">
      <c r="A17" s="26"/>
      <c r="B17" s="16"/>
      <c r="C17" s="16"/>
      <c r="D17" s="16"/>
      <c r="E17" s="16"/>
      <c r="F17" s="16"/>
      <c r="G17" s="16"/>
    </row>
    <row r="18" customFormat="false" ht="15" hidden="false" customHeight="true" outlineLevel="0" collapsed="false">
      <c r="A18" s="26"/>
      <c r="B18" s="16"/>
      <c r="C18" s="16"/>
      <c r="D18" s="16"/>
      <c r="E18" s="16"/>
      <c r="F18" s="16"/>
      <c r="G18" s="16"/>
    </row>
    <row r="19" customFormat="false" ht="15" hidden="false" customHeight="true" outlineLevel="0" collapsed="false">
      <c r="A19" s="26"/>
      <c r="B19" s="16"/>
      <c r="C19" s="16"/>
      <c r="D19" s="16"/>
      <c r="E19" s="16"/>
      <c r="F19" s="16"/>
      <c r="G19" s="16"/>
    </row>
    <row r="20" customFormat="false" ht="15" hidden="false" customHeight="true" outlineLevel="0" collapsed="false">
      <c r="A20" s="26"/>
      <c r="B20" s="16"/>
      <c r="C20" s="16"/>
      <c r="D20" s="16"/>
      <c r="E20" s="16"/>
      <c r="F20" s="16"/>
      <c r="G20" s="16"/>
    </row>
    <row r="21" customFormat="false" ht="15" hidden="false" customHeight="true" outlineLevel="0" collapsed="false">
      <c r="A21" s="26"/>
      <c r="B21" s="16"/>
      <c r="C21" s="16"/>
      <c r="D21" s="16"/>
      <c r="E21" s="16"/>
      <c r="F21" s="16"/>
      <c r="G21" s="16"/>
    </row>
    <row r="22" customFormat="false" ht="15" hidden="false" customHeight="true" outlineLevel="0" collapsed="false">
      <c r="A22" s="26"/>
      <c r="B22" s="16"/>
      <c r="C22" s="16"/>
      <c r="D22" s="16"/>
      <c r="E22" s="16"/>
      <c r="F22" s="16"/>
      <c r="G22" s="16"/>
    </row>
  </sheetData>
  <mergeCells count="1">
    <mergeCell ref="A3:G3"/>
  </mergeCells>
  <dataValidations count="2">
    <dataValidation allowBlank="true" errorStyle="stop" operator="between" showDropDown="false" showErrorMessage="false" showInputMessage="false" sqref="C7:C22" type="list">
      <formula1>"1. Power Query,2. Modelo,3. DAX,4. Visualización,5. Estrategia y What-if,6. Defensa"</formula1>
      <formula2>0</formula2>
    </dataValidation>
    <dataValidation allowBlank="true" errorStyle="stop" operator="between" showDropDown="false" showErrorMessage="false" showInputMessage="false" sqref="G7:G22" type="list">
      <formula1>"Aplicada,Parcial,No aplicada (justificar)"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2026-09-28T01:30:45Z</dcterms:created>
  <dc:creator>openpyxl</dc:creator>
  <dc:description/>
  <dc:language>en-US</dc:language>
  <cp:lastModifiedBy/>
  <dcterms:modified xsi:type="dcterms:W3CDTF">2026-10-03T13:58:42Z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